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hlok/Desktop/shlokkhandelwal_2511941_part2_kpi_experiment/part2_kpi_experiment/analysis/"/>
    </mc:Choice>
  </mc:AlternateContent>
  <xr:revisionPtr revIDLastSave="0" documentId="13_ncr:1_{444CB007-D759-C048-AA1C-997CB1D8782C}" xr6:coauthVersionLast="47" xr6:coauthVersionMax="47" xr10:uidLastSave="{00000000-0000-0000-0000-000000000000}"/>
  <bookViews>
    <workbookView xWindow="0" yWindow="680" windowWidth="29400" windowHeight="16700" activeTab="1" xr2:uid="{00000000-000D-0000-FFFF-FFFF00000000}"/>
  </bookViews>
  <sheets>
    <sheet name="Raw_Data" sheetId="1" r:id="rId1"/>
    <sheet name="Experiment_Summary" sheetId="4" r:id="rId2"/>
    <sheet name="Hypothesis_Test" sheetId="5" r:id="rId3"/>
    <sheet name="Data_Checks" sheetId="3" r:id="rId4"/>
    <sheet name="business_context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5" l="1"/>
  <c r="B16" i="5" s="1"/>
  <c r="B18" i="5" s="1"/>
  <c r="B14" i="5"/>
  <c r="B10" i="5"/>
  <c r="B9" i="5"/>
  <c r="B8" i="5"/>
  <c r="B7" i="5"/>
  <c r="D18" i="4"/>
  <c r="C18" i="4"/>
  <c r="B18" i="4"/>
  <c r="D17" i="4"/>
  <c r="C17" i="4"/>
  <c r="B17" i="4"/>
  <c r="D16" i="4"/>
  <c r="C16" i="4"/>
  <c r="B16" i="4"/>
  <c r="D15" i="4"/>
  <c r="C15" i="4"/>
  <c r="B15" i="4"/>
  <c r="E8" i="4"/>
  <c r="E11" i="4"/>
  <c r="D11" i="4"/>
  <c r="C11" i="4"/>
  <c r="B11" i="4"/>
  <c r="E10" i="4"/>
  <c r="D10" i="4"/>
  <c r="C10" i="4"/>
  <c r="B10" i="4"/>
  <c r="E9" i="4"/>
  <c r="D9" i="4"/>
  <c r="C9" i="4"/>
  <c r="B9" i="4"/>
  <c r="B8" i="4"/>
  <c r="C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2" i="4"/>
  <c r="D2" i="4"/>
  <c r="C2" i="4"/>
  <c r="B2" i="4"/>
  <c r="B23" i="5" l="1"/>
  <c r="B22" i="5"/>
  <c r="B17" i="5"/>
  <c r="D8" i="4"/>
</calcChain>
</file>

<file path=xl/sharedStrings.xml><?xml version="1.0" encoding="utf-8"?>
<sst xmlns="http://schemas.openxmlformats.org/spreadsheetml/2006/main" count="8515" uniqueCount="1508">
  <si>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</si>
  <si>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</si>
  <si>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</si>
  <si>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</si>
  <si>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</si>
  <si>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</si>
  <si>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</si>
  <si>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</si>
  <si>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</si>
  <si>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</si>
  <si>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</si>
  <si>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</si>
  <si>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</si>
  <si>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</si>
  <si>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</si>
  <si>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</si>
  <si>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</si>
  <si>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</si>
  <si>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</si>
  <si>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</si>
  <si>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</si>
  <si>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</si>
  <si>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</si>
  <si>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</si>
  <si>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</si>
  <si>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</si>
  <si>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</si>
  <si>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</si>
  <si>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</si>
  <si>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</si>
  <si>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</si>
  <si>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</si>
  <si>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</si>
  <si>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</si>
  <si>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</si>
  <si>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</si>
  <si>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</si>
  <si>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</si>
  <si>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</si>
  <si>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</si>
  <si>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</si>
  <si>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</si>
  <si>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</si>
  <si>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</si>
  <si>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</si>
  <si>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</si>
  <si>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</si>
  <si>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</si>
  <si>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</si>
  <si>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</si>
  <si>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</si>
  <si>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</si>
  <si>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</si>
  <si>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</si>
  <si>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</si>
  <si>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</si>
  <si>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</si>
  <si>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</si>
  <si>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</si>
  <si>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</si>
  <si>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</si>
  <si>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</si>
  <si>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</si>
  <si>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</si>
  <si>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</si>
  <si>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</si>
  <si>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</si>
  <si>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</si>
  <si>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</si>
  <si>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</si>
  <si>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</si>
  <si>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</si>
  <si>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</si>
  <si>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</si>
  <si>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</si>
  <si>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</si>
  <si>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</si>
  <si>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</si>
  <si>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</si>
  <si>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</si>
  <si>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</si>
  <si>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</si>
  <si>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</si>
  <si>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</si>
  <si>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</si>
  <si>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</si>
  <si>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</si>
  <si>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</si>
  <si>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</si>
  <si>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</si>
  <si>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</si>
  <si>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</si>
  <si>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</si>
  <si>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</si>
  <si>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</si>
  <si>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</si>
  <si>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</si>
  <si>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</si>
  <si>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</si>
  <si>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</si>
  <si>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</si>
  <si>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</si>
  <si>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</si>
  <si>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</si>
  <si>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</si>
  <si>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</si>
  <si>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</si>
  <si>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</si>
  <si>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</si>
  <si>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</si>
  <si>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</si>
  <si>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</si>
  <si>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</si>
  <si>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</si>
  <si>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</si>
  <si>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</si>
  <si>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</si>
  <si>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</si>
  <si>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</si>
  <si>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</si>
  <si>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</si>
  <si>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</si>
  <si>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</si>
  <si>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</si>
  <si>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</si>
  <si>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</si>
  <si>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</si>
  <si>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</si>
  <si>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</si>
  <si>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</si>
  <si>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</si>
  <si>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</si>
  <si>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</si>
  <si>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</si>
  <si>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</si>
  <si>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</si>
  <si>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</si>
  <si>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</si>
  <si>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</si>
  <si>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</si>
  <si>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</si>
  <si>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</si>
  <si>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</si>
  <si>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</si>
  <si>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</si>
  <si>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</si>
  <si>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</si>
  <si>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</si>
  <si>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</si>
  <si>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</si>
  <si>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</si>
  <si>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</si>
  <si>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</si>
  <si>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</si>
  <si>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</si>
  <si>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</si>
  <si>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</si>
  <si>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</si>
  <si>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</si>
  <si>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</si>
  <si>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</si>
  <si>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</si>
  <si>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</si>
  <si>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</si>
  <si>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</si>
  <si>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</si>
  <si>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</si>
  <si>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</si>
  <si>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</si>
  <si>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</si>
  <si>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</si>
  <si>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</si>
  <si>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</si>
  <si>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</si>
  <si>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</si>
  <si>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</si>
  <si>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</si>
  <si>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</si>
  <si>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</si>
  <si>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</si>
  <si>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</si>
  <si>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</si>
  <si>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</si>
  <si>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</si>
  <si>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</si>
  <si>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</si>
  <si>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</si>
  <si>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</si>
  <si>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</si>
  <si>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</si>
  <si>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</si>
  <si>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</si>
  <si>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</si>
  <si>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</si>
  <si>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</si>
  <si>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</si>
  <si>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</si>
  <si>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</si>
  <si>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</si>
  <si>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</si>
  <si>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</si>
  <si>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</si>
  <si>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</si>
  <si>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</si>
  <si>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</si>
  <si>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</si>
  <si>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</si>
  <si>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</si>
  <si>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</si>
  <si>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</si>
  <si>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</si>
  <si>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</si>
  <si>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</si>
  <si>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</si>
  <si>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</si>
  <si>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</si>
  <si>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</si>
  <si>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</si>
  <si>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</si>
  <si>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</si>
  <si>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</si>
  <si>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</si>
  <si>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</si>
  <si>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</si>
  <si>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</si>
  <si>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</si>
  <si>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</si>
  <si>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</si>
  <si>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</si>
  <si>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</si>
  <si>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</si>
  <si>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</si>
  <si>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</si>
  <si>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</si>
  <si>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</si>
  <si>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</si>
  <si>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</si>
  <si>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</si>
  <si>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</si>
  <si>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</si>
  <si>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</si>
  <si>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</si>
  <si>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</si>
  <si>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</si>
  <si>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</si>
  <si>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</si>
  <si>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</si>
  <si>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</si>
  <si>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</si>
  <si>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</si>
  <si>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</si>
  <si>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</si>
  <si>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</si>
  <si>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</si>
  <si>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</si>
  <si>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</si>
  <si>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</si>
  <si>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</si>
  <si>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</si>
  <si>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</si>
  <si>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</si>
  <si>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</si>
  <si>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</si>
  <si>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</si>
  <si>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</si>
  <si>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</si>
  <si>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</si>
  <si>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</si>
  <si>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</si>
  <si>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</si>
  <si>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</si>
  <si>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</si>
  <si>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</si>
  <si>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</si>
  <si>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</si>
  <si>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</si>
  <si>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</si>
  <si>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</si>
  <si>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</si>
  <si>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</si>
  <si>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</si>
  <si>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</si>
  <si>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</si>
  <si>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</si>
  <si>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</si>
  <si>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</si>
  <si>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</si>
  <si>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</si>
  <si>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</si>
  <si>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</si>
  <si>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</si>
  <si>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</si>
  <si>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</si>
  <si>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</si>
  <si>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</si>
  <si>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</si>
  <si>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</si>
  <si>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</si>
  <si>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</si>
  <si>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</si>
  <si>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</si>
  <si>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</si>
  <si>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</si>
  <si>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</si>
  <si>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</si>
  <si>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</si>
  <si>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</si>
  <si>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</si>
  <si>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</si>
  <si>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</si>
  <si>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</si>
  <si>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</si>
  <si>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</si>
  <si>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</si>
  <si>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</si>
  <si>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</si>
  <si>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</si>
  <si>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</si>
  <si>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</si>
  <si>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</si>
  <si>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</si>
  <si>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</si>
  <si>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</si>
  <si>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</si>
  <si>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</si>
  <si>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</si>
  <si>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</si>
  <si>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</si>
  <si>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</si>
  <si>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</si>
  <si>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</si>
  <si>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</si>
  <si>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</si>
  <si>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</si>
  <si>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</si>
  <si>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</si>
  <si>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</si>
  <si>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</si>
  <si>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</si>
  <si>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</si>
  <si>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</si>
  <si>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</si>
  <si>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</si>
  <si>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</si>
  <si>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</si>
  <si>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</si>
  <si>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</si>
  <si>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</si>
  <si>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</si>
  <si>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</si>
  <si>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</si>
  <si>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</si>
  <si>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</si>
  <si>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</si>
  <si>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</si>
  <si>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</si>
  <si>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</si>
  <si>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</si>
  <si>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</si>
  <si>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</si>
  <si>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</si>
  <si>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</si>
  <si>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</si>
  <si>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</si>
  <si>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</si>
  <si>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</si>
  <si>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</si>
  <si>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</si>
  <si>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</si>
  <si>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</si>
  <si>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</si>
  <si>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</si>
  <si>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</si>
  <si>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</si>
  <si>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</si>
  <si>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</si>
  <si>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</si>
  <si>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</si>
  <si>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</si>
  <si>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</si>
  <si>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</si>
  <si>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</si>
  <si>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</si>
  <si>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</si>
  <si>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</si>
  <si>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</si>
  <si>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</si>
  <si>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</si>
  <si>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</si>
  <si>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</si>
  <si>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</si>
  <si>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</si>
  <si>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</si>
  <si>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</si>
  <si>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</si>
  <si>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</si>
  <si>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</si>
  <si>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</si>
  <si>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</si>
  <si>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</si>
  <si>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</si>
  <si>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</si>
  <si>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</si>
  <si>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</si>
  <si>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</si>
  <si>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</si>
  <si>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</si>
  <si>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</si>
  <si>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</si>
  <si>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</si>
  <si>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</si>
  <si>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</si>
  <si>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</si>
  <si>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</si>
  <si>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</si>
  <si>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</si>
  <si>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</si>
  <si>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</si>
  <si>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</si>
  <si>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</si>
  <si>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</si>
  <si>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</si>
  <si>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</si>
  <si>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</si>
  <si>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</si>
  <si>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</si>
  <si>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</si>
  <si>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</si>
  <si>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</si>
  <si>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</si>
  <si>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</si>
  <si>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</si>
  <si>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</si>
  <si>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</si>
  <si>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</si>
  <si>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</si>
  <si>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</si>
  <si>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</si>
  <si>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</si>
  <si>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</si>
  <si>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</si>
  <si>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</si>
  <si>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</si>
  <si>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</si>
  <si>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</si>
  <si>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</si>
  <si>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</si>
  <si>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</si>
  <si>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</si>
  <si>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</si>
  <si>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</si>
  <si>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</si>
  <si>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</si>
  <si>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</si>
  <si>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</si>
  <si>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</si>
  <si>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</si>
  <si>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</si>
  <si>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</si>
  <si>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</si>
  <si>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</si>
  <si>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</si>
  <si>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</si>
  <si>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</si>
  <si>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</si>
  <si>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</si>
  <si>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</si>
  <si>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</si>
  <si>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</si>
  <si>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</si>
  <si>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</si>
  <si>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</si>
  <si>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</si>
  <si>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</si>
  <si>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</si>
  <si>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</si>
  <si>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</si>
  <si>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</si>
  <si>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</si>
  <si>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</si>
  <si>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</si>
  <si>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</si>
  <si>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</si>
  <si>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</si>
  <si>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</si>
  <si>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</si>
  <si>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</si>
  <si>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</si>
  <si>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</si>
  <si>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</si>
  <si>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</si>
  <si>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</si>
  <si>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</si>
  <si>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</si>
  <si>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</si>
  <si>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</si>
  <si>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</si>
  <si>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</si>
  <si>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</si>
  <si>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</si>
  <si>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</si>
  <si>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</si>
  <si>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</si>
  <si>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</si>
  <si>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</si>
  <si>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</si>
  <si>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</si>
  <si>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</si>
  <si>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</si>
  <si>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</si>
  <si>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</si>
  <si>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</si>
  <si>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</si>
  <si>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</si>
  <si>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</si>
  <si>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</si>
  <si>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</si>
  <si>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</si>
  <si>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</si>
  <si>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</si>
  <si>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</si>
  <si>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</si>
  <si>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</si>
  <si>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</si>
  <si>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</si>
  <si>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</si>
  <si>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</si>
  <si>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</si>
  <si>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</si>
  <si>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</si>
  <si>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</si>
  <si>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</si>
  <si>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</si>
  <si>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</si>
  <si>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</si>
  <si>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</si>
  <si>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</si>
  <si>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</si>
  <si>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</si>
  <si>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</si>
  <si>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</si>
  <si>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</si>
  <si>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</si>
  <si>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</si>
  <si>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</si>
  <si>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</si>
  <si>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</si>
  <si>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</si>
  <si>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</si>
  <si>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</si>
  <si>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</si>
  <si>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</si>
  <si>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</si>
  <si>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</si>
  <si>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</si>
  <si>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</si>
  <si>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</si>
  <si>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</si>
  <si>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</si>
  <si>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</si>
  <si>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</si>
  <si>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</si>
  <si>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</si>
  <si>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</si>
  <si>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</si>
  <si>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</si>
  <si>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</si>
  <si>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</si>
  <si>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</si>
  <si>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</si>
  <si>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</si>
  <si>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</si>
  <si>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</si>
  <si>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</si>
  <si>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</si>
  <si>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</si>
  <si>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</si>
  <si>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</si>
  <si>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</si>
  <si>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</si>
  <si>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</si>
  <si>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</si>
  <si>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</si>
  <si>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</si>
  <si>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</si>
  <si>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</si>
  <si>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</si>
  <si>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</si>
  <si>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</si>
  <si>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</si>
  <si>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</si>
  <si>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</si>
  <si>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</si>
  <si>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</si>
  <si>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</si>
  <si>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</si>
  <si>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</si>
  <si>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</si>
  <si>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</si>
  <si>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</si>
  <si>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</si>
  <si>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</si>
  <si>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</si>
  <si>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</si>
  <si>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</si>
  <si>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</si>
  <si>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</si>
  <si>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</si>
  <si>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</si>
  <si>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</si>
  <si>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</si>
  <si>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</si>
  <si>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</si>
  <si>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</si>
  <si>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</si>
  <si>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</si>
  <si>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</si>
  <si>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</si>
  <si>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</si>
  <si>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</si>
  <si>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</si>
  <si>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</si>
  <si>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</si>
  <si>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</si>
  <si>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</si>
  <si>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</si>
  <si>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</si>
  <si>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</si>
  <si>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</si>
  <si>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</si>
  <si>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</si>
  <si>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</si>
  <si>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</si>
  <si>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</si>
  <si>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</si>
  <si>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</si>
  <si>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</si>
  <si>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</si>
  <si>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</si>
  <si>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</si>
  <si>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</si>
  <si>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</si>
  <si>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</si>
  <si>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</si>
  <si>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</si>
  <si>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</si>
  <si>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</si>
  <si>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</si>
  <si>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</si>
  <si>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</si>
  <si>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</si>
  <si>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</si>
  <si>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</si>
  <si>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</si>
  <si>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</si>
  <si>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</si>
  <si>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</si>
  <si>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</si>
  <si>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</si>
  <si>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</si>
  <si>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</si>
  <si>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</si>
  <si>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</si>
  <si>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</si>
  <si>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</si>
  <si>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</si>
  <si>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</si>
  <si>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</si>
  <si>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</si>
  <si>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</si>
  <si>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</si>
  <si>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</si>
  <si>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</si>
  <si>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</si>
  <si>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</si>
  <si>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</si>
  <si>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</si>
  <si>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</si>
  <si>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</si>
  <si>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</si>
  <si>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</si>
  <si>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</si>
  <si>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</si>
  <si>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</si>
  <si>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</si>
  <si>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</si>
  <si>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</si>
  <si>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</si>
  <si>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</si>
  <si>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</si>
  <si>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</si>
  <si>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</si>
  <si>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</si>
  <si>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</si>
  <si>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</si>
  <si>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</si>
  <si>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</si>
  <si>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</si>
  <si>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</si>
  <si>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</si>
  <si>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</si>
  <si>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</si>
  <si>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</si>
  <si>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</si>
  <si>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</si>
  <si>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</si>
  <si>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</si>
  <si>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</si>
  <si>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</si>
  <si>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</si>
  <si>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</si>
  <si>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</si>
  <si>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</si>
  <si>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</si>
  <si>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</si>
  <si>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</si>
  <si>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</si>
  <si>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</si>
  <si>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</si>
  <si>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</si>
  <si>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</si>
  <si>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</si>
  <si>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</si>
  <si>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</si>
  <si>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</si>
  <si>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</si>
  <si>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</si>
  <si>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</si>
  <si>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</si>
  <si>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</si>
  <si>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</si>
  <si>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</si>
  <si>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</si>
  <si>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</si>
  <si>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</si>
  <si>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</si>
  <si>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</si>
  <si>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</si>
  <si>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</si>
  <si>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</si>
  <si>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</si>
  <si>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</si>
  <si>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</si>
  <si>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</si>
  <si>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</si>
  <si>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</si>
  <si>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</si>
  <si>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</si>
  <si>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</si>
  <si>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</si>
  <si>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</si>
  <si>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</si>
  <si>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</si>
  <si>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</si>
  <si>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</si>
  <si>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</si>
  <si>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</si>
  <si>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</si>
  <si>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</si>
  <si>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</si>
  <si>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</si>
  <si>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</si>
  <si>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</si>
  <si>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</si>
  <si>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</si>
  <si>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</si>
  <si>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</si>
  <si>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</si>
  <si>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</si>
  <si>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</si>
  <si>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</si>
  <si>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</si>
  <si>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</si>
  <si>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</si>
  <si>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</si>
  <si>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</si>
  <si>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</si>
  <si>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</si>
  <si>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</si>
  <si>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</si>
  <si>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</si>
  <si>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</si>
  <si>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</si>
  <si>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</si>
  <si>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</si>
  <si>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</si>
  <si>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</si>
  <si>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</si>
  <si>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</si>
  <si>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</si>
  <si>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</si>
  <si>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</si>
  <si>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</si>
  <si>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</si>
  <si>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</si>
  <si>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</si>
  <si>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</si>
  <si>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</si>
  <si>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</si>
  <si>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</si>
  <si>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</si>
  <si>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</si>
  <si>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</si>
  <si>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</si>
  <si>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</si>
  <si>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</si>
  <si>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</si>
  <si>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</si>
  <si>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</si>
  <si>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</si>
  <si>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</si>
  <si>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</si>
  <si>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</si>
  <si>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</si>
  <si>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</si>
  <si>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</si>
  <si>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</si>
  <si>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</si>
  <si>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</si>
  <si>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</si>
  <si>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</si>
  <si>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</si>
  <si>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</si>
  <si>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</si>
  <si>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</si>
  <si>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</si>
  <si>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</si>
  <si>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</si>
  <si>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</si>
  <si>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</si>
  <si>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</si>
  <si>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</si>
  <si>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</si>
  <si>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</si>
  <si>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</si>
  <si>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</si>
  <si>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</si>
  <si>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</si>
  <si>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</si>
  <si>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</si>
  <si>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</si>
  <si>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</si>
  <si>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</si>
  <si>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</si>
  <si>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</si>
  <si>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</si>
  <si>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</si>
  <si>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</si>
  <si>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</si>
  <si>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</si>
  <si>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</si>
  <si>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</si>
  <si>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</si>
  <si>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</si>
  <si>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</si>
  <si>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</si>
  <si>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</si>
  <si>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</si>
  <si>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</si>
  <si>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</si>
  <si>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</si>
  <si>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</si>
  <si>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</si>
  <si>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</si>
  <si>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</si>
  <si>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</si>
  <si>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</si>
  <si>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</si>
  <si>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</si>
  <si>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</si>
  <si>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</si>
  <si>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</si>
  <si>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</si>
  <si>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</si>
  <si>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</si>
  <si>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</si>
  <si>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</si>
  <si>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</si>
  <si>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</si>
  <si>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</si>
  <si>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</si>
  <si>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</si>
  <si>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</si>
  <si>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</si>
  <si>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</si>
  <si>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</si>
  <si>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</si>
  <si>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</si>
  <si>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</si>
  <si>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</si>
  <si>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</si>
  <si>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</si>
  <si>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</si>
  <si>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</si>
  <si>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</si>
  <si>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</si>
  <si>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</si>
  <si>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</si>
  <si>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</si>
  <si>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</si>
  <si>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</si>
  <si>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</si>
  <si>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</si>
  <si>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</si>
  <si>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</si>
  <si>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</si>
  <si>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</si>
  <si>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</si>
  <si>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</si>
  <si>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</si>
  <si>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</si>
  <si>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</si>
  <si>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</si>
  <si>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</si>
  <si>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</si>
  <si>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</si>
  <si>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</si>
  <si>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</si>
  <si>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</si>
  <si>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</si>
  <si>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</si>
  <si>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</si>
  <si>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</si>
  <si>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</si>
  <si>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</si>
  <si>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</si>
  <si>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</si>
  <si>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</si>
  <si>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</si>
  <si>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</si>
  <si>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</si>
  <si>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</si>
  <si>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</si>
  <si>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</si>
  <si>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</si>
  <si>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</si>
  <si>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</si>
  <si>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</si>
  <si>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</si>
  <si>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</si>
  <si>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</si>
  <si>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</si>
  <si>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</si>
  <si>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</si>
  <si>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</si>
  <si>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</si>
  <si>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</si>
  <si>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</si>
  <si>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</si>
  <si>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</si>
  <si>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</si>
  <si>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</si>
  <si>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</si>
  <si>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</si>
  <si>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</si>
  <si>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</si>
  <si>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</si>
  <si>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</si>
  <si>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</si>
  <si>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</si>
  <si>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</si>
  <si>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</si>
  <si>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</si>
  <si>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</si>
  <si>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</si>
  <si>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</si>
  <si>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</si>
  <si>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</si>
  <si>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</si>
  <si>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</si>
  <si>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</si>
  <si>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</si>
  <si>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</si>
  <si>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</si>
  <si>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</si>
  <si>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</si>
  <si>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</si>
  <si>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</si>
  <si>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</si>
  <si>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</si>
  <si>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</si>
  <si>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</si>
  <si>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</si>
  <si>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</si>
  <si>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</si>
  <si>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</si>
  <si>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</si>
  <si>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</si>
  <si>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</si>
  <si>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</si>
  <si>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</si>
  <si>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</si>
  <si>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</si>
  <si>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</si>
  <si>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</si>
  <si>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</si>
  <si>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</si>
  <si>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</si>
  <si>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</si>
  <si>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</si>
  <si>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</si>
  <si>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</si>
  <si>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</si>
  <si>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</si>
  <si>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</si>
  <si>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</si>
  <si>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</si>
  <si>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</si>
  <si>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</si>
  <si>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</si>
  <si>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</si>
  <si>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</si>
  <si>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</si>
  <si>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</si>
  <si>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</si>
  <si>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</si>
  <si>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</si>
  <si>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</si>
  <si>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</si>
  <si>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</si>
  <si>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</si>
  <si>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</si>
  <si>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</si>
  <si>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</si>
  <si>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</si>
  <si>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</si>
  <si>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</si>
  <si>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</si>
  <si>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</si>
  <si>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</si>
  <si>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</si>
  <si>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</si>
  <si>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</si>
  <si>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</si>
  <si>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</si>
  <si>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</si>
  <si>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</si>
  <si>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</si>
  <si>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</si>
  <si>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</si>
  <si>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</si>
  <si>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</si>
  <si>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</si>
  <si>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</si>
  <si>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</si>
  <si>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</si>
  <si>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</si>
  <si>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</si>
  <si>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</si>
  <si>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</si>
  <si>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</si>
  <si>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</si>
  <si>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</si>
  <si>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</si>
  <si>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</si>
  <si>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</si>
  <si>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</si>
  <si>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</si>
  <si>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</si>
  <si>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</si>
  <si>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</si>
  <si>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</si>
  <si>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</si>
  <si>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</si>
  <si>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</si>
  <si>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</si>
  <si>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</si>
  <si>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</si>
  <si>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</si>
  <si>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</si>
  <si>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</si>
  <si>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</si>
  <si>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</si>
  <si>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</si>
  <si>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</si>
  <si>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</si>
  <si>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</si>
  <si>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</si>
  <si>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</si>
  <si>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</si>
  <si>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</si>
  <si>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</si>
  <si>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</si>
  <si>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</si>
  <si>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</si>
  <si>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</si>
  <si>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</si>
  <si>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</si>
  <si>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</si>
  <si>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</si>
  <si>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</si>
  <si>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</si>
  <si>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</si>
  <si>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</si>
  <si>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</si>
  <si>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</si>
  <si>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</si>
  <si>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</si>
  <si>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</si>
  <si>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</si>
  <si>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</si>
  <si>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</si>
  <si>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</si>
  <si>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</si>
  <si>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</si>
  <si>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</si>
  <si>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</si>
  <si>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</si>
  <si>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</si>
  <si>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</si>
  <si>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</si>
  <si>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</si>
  <si>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</si>
  <si>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</si>
  <si>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</si>
  <si>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</si>
  <si>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</si>
  <si>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</si>
  <si>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</si>
  <si>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</si>
  <si>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</si>
  <si>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</si>
  <si>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</si>
  <si>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</si>
  <si>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</si>
  <si>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</si>
  <si>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</si>
  <si>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</si>
  <si>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</si>
  <si>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</si>
  <si>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</si>
  <si>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</si>
  <si>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</si>
  <si>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</si>
  <si>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</si>
  <si>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</si>
  <si>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</si>
  <si>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</si>
  <si>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</si>
  <si>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</si>
  <si>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</si>
  <si>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</si>
  <si>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</si>
  <si>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</si>
  <si>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</si>
  <si>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</si>
  <si>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</si>
  <si>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</si>
  <si>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</si>
  <si>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</si>
  <si>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</si>
  <si>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</si>
  <si>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</si>
  <si>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</si>
  <si>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</si>
  <si>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</si>
  <si>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</si>
  <si>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</si>
  <si>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</si>
  <si>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</si>
  <si>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</si>
  <si>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</si>
  <si>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</si>
  <si>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</si>
  <si>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</si>
  <si>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</si>
  <si>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</si>
  <si>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</si>
  <si>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</si>
  <si>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</si>
  <si>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</si>
  <si>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</si>
  <si>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</si>
  <si>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</si>
  <si>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</si>
  <si>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</si>
  <si>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</si>
  <si>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</si>
  <si>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</si>
  <si>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</si>
  <si>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</si>
  <si>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</si>
  <si>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</si>
  <si>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</si>
  <si>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</si>
  <si>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</si>
  <si>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</si>
  <si>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</si>
  <si>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</si>
  <si>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</si>
  <si>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</si>
  <si>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</si>
  <si>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</si>
  <si>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</si>
  <si>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</si>
  <si>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</si>
  <si>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</si>
  <si>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</si>
  <si>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</si>
  <si>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</si>
  <si>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</si>
  <si>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</si>
  <si>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</si>
  <si>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</si>
  <si>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</si>
  <si>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</si>
  <si>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</si>
  <si>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</si>
  <si>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</si>
  <si>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</si>
  <si>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</si>
  <si>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</si>
  <si>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</si>
  <si>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</si>
  <si>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</si>
  <si>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</si>
  <si>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</si>
  <si>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</si>
  <si>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</si>
  <si>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</si>
  <si>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</si>
  <si>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</si>
  <si>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</si>
  <si>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</si>
  <si>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</si>
  <si>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</si>
  <si>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</si>
  <si>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</si>
  <si>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</si>
  <si>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</si>
  <si>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</si>
  <si>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</si>
  <si>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</si>
  <si>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</si>
  <si>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</si>
  <si>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</si>
  <si>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</si>
  <si>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</si>
  <si>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</si>
  <si>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</si>
  <si>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</si>
  <si>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</si>
  <si>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</si>
  <si>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</si>
  <si>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</si>
  <si>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</si>
  <si>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</si>
  <si>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</si>
  <si>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</si>
  <si>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</si>
  <si>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</si>
  <si>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</si>
  <si>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</si>
  <si>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</si>
  <si>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</si>
  <si>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</si>
  <si>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</si>
  <si>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</si>
  <si>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</si>
  <si>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</si>
  <si>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</si>
  <si>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</si>
  <si>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</si>
  <si>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</si>
  <si>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</si>
  <si>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</si>
  <si>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</si>
  <si>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</si>
  <si>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</si>
  <si>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</si>
  <si>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</si>
  <si>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</si>
  <si>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</si>
  <si>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</si>
  <si>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</si>
  <si>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</si>
  <si>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</si>
  <si>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</si>
  <si>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</si>
  <si>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</si>
  <si>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</si>
  <si>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</si>
  <si>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</si>
  <si>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</si>
  <si>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</si>
  <si>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</si>
  <si>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</si>
  <si>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</si>
  <si>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</si>
  <si>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</si>
  <si>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</si>
  <si>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</si>
  <si>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</si>
  <si>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</si>
  <si>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</si>
  <si>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</si>
  <si>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</si>
  <si>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</si>
  <si>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</si>
  <si>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</si>
  <si>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</si>
  <si>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</si>
  <si>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</si>
  <si>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</si>
  <si>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</si>
  <si>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</si>
  <si>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</si>
  <si>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</si>
  <si>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</si>
  <si>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</si>
  <si>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</si>
  <si>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</si>
  <si>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</si>
  <si>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</si>
  <si>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</si>
  <si>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</si>
  <si>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</si>
  <si>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</si>
  <si>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</si>
  <si>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</si>
  <si>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</si>
  <si>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</si>
  <si>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</si>
  <si>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</si>
  <si>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</si>
  <si>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</si>
  <si>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</si>
  <si>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</si>
  <si>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</si>
  <si>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</si>
  <si>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</si>
  <si>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</si>
  <si>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</si>
  <si>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</si>
  <si>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</si>
  <si>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</si>
  <si>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</si>
  <si>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</si>
  <si>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</si>
  <si>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</si>
  <si>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</si>
  <si>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</si>
  <si>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</si>
  <si>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</si>
  <si>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</si>
  <si>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</si>
  <si>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</si>
  <si>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</si>
  <si>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</si>
  <si>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</si>
  <si>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</si>
  <si>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</si>
  <si>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</si>
  <si>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</si>
  <si>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</si>
  <si>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</si>
  <si>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</si>
  <si>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</si>
  <si>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</si>
  <si>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</si>
  <si>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</si>
  <si>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</si>
  <si>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</si>
  <si>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</si>
  <si>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</si>
  <si>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</si>
  <si>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</si>
  <si>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</si>
  <si>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</si>
  <si>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</si>
  <si>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</si>
  <si>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</si>
  <si>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</si>
  <si>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</si>
  <si>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</si>
  <si>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</si>
  <si>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</si>
  <si>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</si>
  <si>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</si>
  <si>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</si>
  <si>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</si>
  <si>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</si>
  <si>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</si>
  <si>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</si>
  <si>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</si>
  <si>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</si>
  <si>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</si>
  <si>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</si>
  <si>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</si>
  <si>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</si>
  <si>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</si>
  <si>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</si>
  <si>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</si>
  <si>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</si>
  <si>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</si>
  <si>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</si>
  <si>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</si>
  <si>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</si>
  <si>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</si>
  <si>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</si>
  <si>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</si>
  <si>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</si>
  <si>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</si>
  <si>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</si>
  <si>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</si>
  <si>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</si>
  <si>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</si>
  <si>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</si>
  <si>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</si>
  <si>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</si>
  <si>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</si>
  <si>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</si>
  <si>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</si>
  <si>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</si>
  <si>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</si>
  <si>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</si>
  <si>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</si>
  <si>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</si>
  <si>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</si>
  <si>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</si>
  <si>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</si>
  <si>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</si>
  <si>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</si>
  <si>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</si>
  <si>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</si>
  <si>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</si>
  <si>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</si>
  <si>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</si>
  <si>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</si>
  <si>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</si>
  <si>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</si>
  <si>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</si>
  <si>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</si>
  <si>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</si>
  <si>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</si>
  <si>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</si>
  <si>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</si>
  <si>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</si>
  <si>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</si>
  <si>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</si>
  <si>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</si>
  <si>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</si>
  <si>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</si>
  <si>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</si>
  <si>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</si>
  <si>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</si>
  <si>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</si>
  <si>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</si>
  <si>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</si>
  <si>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</si>
  <si>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</si>
  <si>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Metric</t>
  </si>
  <si>
    <t>Difference</t>
  </si>
  <si>
    <t>Lift %</t>
  </si>
  <si>
    <t>User Count</t>
  </si>
  <si>
    <t>Landing Page Visit Rate</t>
  </si>
  <si>
    <t>Trial Start Rate</t>
  </si>
  <si>
    <t>Onboarding Completion Rate</t>
  </si>
  <si>
    <t>Paid Conversion Rate</t>
  </si>
  <si>
    <t>Avg Revenue Per User</t>
  </si>
  <si>
    <t>Refund Rate</t>
  </si>
  <si>
    <t>Support Ticket Rate</t>
  </si>
  <si>
    <t>Avg Engagement Score</t>
  </si>
  <si>
    <t>Avg Days to Convert</t>
  </si>
  <si>
    <t>Segment Analysis by Region - Paid Conversion Rate</t>
  </si>
  <si>
    <t>Region</t>
  </si>
  <si>
    <t>Control Conv Rate</t>
  </si>
  <si>
    <t>Treatment Conv Rate</t>
  </si>
  <si>
    <t>Column1</t>
  </si>
  <si>
    <t>Column2</t>
  </si>
  <si>
    <t>Column3</t>
  </si>
  <si>
    <t>Hypothesis Test - Paid Conversion Rate</t>
  </si>
  <si>
    <t>Test Input</t>
  </si>
  <si>
    <t>Value</t>
  </si>
  <si>
    <t>Metric Tested</t>
  </si>
  <si>
    <t>Control Users</t>
  </si>
  <si>
    <t>Treatment Users</t>
  </si>
  <si>
    <t>Control Converted</t>
  </si>
  <si>
    <t>Treatment Converted</t>
  </si>
  <si>
    <t>Control Rate</t>
  </si>
  <si>
    <t>Treatment Rate</t>
  </si>
  <si>
    <t>Significance Level</t>
  </si>
  <si>
    <t>Test Calculations</t>
  </si>
  <si>
    <t>Pooled proportion</t>
  </si>
  <si>
    <t>Standard Error</t>
  </si>
  <si>
    <t>Z-Score</t>
  </si>
  <si>
    <t>P-value (one-tail)</t>
  </si>
  <si>
    <t>P-value (two-tail)</t>
  </si>
  <si>
    <t>Test Results</t>
  </si>
  <si>
    <t>Decision Rule</t>
  </si>
  <si>
    <t>Reject H0 if p-value &lt; 0.05</t>
  </si>
  <si>
    <t>P-value result</t>
  </si>
  <si>
    <t>Conclusion</t>
  </si>
  <si>
    <t>Data Quality Check</t>
  </si>
  <si>
    <t>Result</t>
  </si>
  <si>
    <t>Total Users</t>
  </si>
  <si>
    <t>Control group</t>
  </si>
  <si>
    <t>Treatment group</t>
  </si>
  <si>
    <t>Duplicate user_ids</t>
  </si>
  <si>
    <t>Missing device_type</t>
  </si>
  <si>
    <t>Missing traffic_source</t>
  </si>
  <si>
    <t>Missing engagement_score</t>
  </si>
  <si>
    <t>Revenue outlier max</t>
  </si>
  <si>
    <t>Days to convert nulls</t>
  </si>
  <si>
    <t>Action on duplicates</t>
  </si>
  <si>
    <t>Flagged for review not deleted</t>
  </si>
  <si>
    <t>Action on missing values</t>
  </si>
  <si>
    <t>Retained as is for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</si>
</sst>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#,##0.00"/>
  </numFmts>
  <fonts count="4"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1"/>
        <bgColor theme="1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9428E-A98D-9646-926F-44D9B39B4B2F}" name="Table1" displayName="Table1" ref="A1:E11" totalsRowShown="0" headerRowDxfId="24" dataDxfId="23">
  <autoFilter ref="A1:E11" xr:uid="{AD09428E-A98D-9646-926F-44D9B39B4B2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227BBAE-D53F-6946-8FDD-19DC0223DA88}" name="Metric" dataDxfId="22"/>
    <tableColumn id="2" xr3:uid="{D0748988-46A3-A445-8515-3B8F97880E6D}" name="Control" dataDxfId="21"/>
    <tableColumn id="3" xr3:uid="{3FA779B4-2D4E-B64A-8B76-A005A4A6A928}" name="Treatment" dataDxfId="20"/>
    <tableColumn id="4" xr3:uid="{AC86F9FD-A7EE-7343-AA0F-405B807956E2}" name="Difference" dataDxfId="19">
      <calculatedColumnFormula>C2-B2</calculatedColumnFormula>
    </tableColumn>
    <tableColumn id="5" xr3:uid="{B02EDD82-2E4E-C949-AB1E-E73F1CCE62A9}" name="Lift %" dataDxfId="18">
      <calculatedColumnFormula>ROUND((C2-B2)/B2*100,2)&amp;"%"</calculatedColumnFormula>
    </tableColumn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C4DB23-A7B1-AE48-961E-E18ADC5A4BD2}" name="Table2" displayName="Table2" ref="A13:D18" totalsRowShown="0" headerRowDxfId="17" dataDxfId="16">
  <autoFilter ref="A13:D18" xr:uid="{8EC4DB23-A7B1-AE48-961E-E18ADC5A4BD2}">
    <filterColumn colId="0" hiddenButton="1"/>
    <filterColumn colId="1" hiddenButton="1"/>
    <filterColumn colId="2" hiddenButton="1"/>
    <filterColumn colId="3" hiddenButton="1"/>
  </autoFilter>
  <tableColumns count="4">
    <tableColumn id="1" xr3:uid="{7C5C39E0-BADA-C845-B37A-9BF9BD8C6DC2}" name="Segment Analysis by Region - Paid Conversion Rate" dataDxfId="15"/>
    <tableColumn id="2" xr3:uid="{E941257C-2D8A-D34B-95EB-A9401F875C77}" name="Column1" dataDxfId="14"/>
    <tableColumn id="3" xr3:uid="{8A95F046-25DF-1349-88DC-9BE2C7234C9A}" name="Column2" dataDxfId="13"/>
    <tableColumn id="4" xr3:uid="{4D8BC933-17EB-FB46-8F43-DF463214F491}" name="Column3" dataDxfId="12">
      <calculatedColumnFormula>C14-B14</calculatedColumnFormula>
    </tableColumn>
  </tableColumns>
  <tableStyleInfo name="TableStyleLight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F5D60E-1C5A-BC4B-AAD2-2731F77A6A2E}" name="Table3" displayName="Table3" ref="A3:B11" totalsRowShown="0" headerRowDxfId="11" dataDxfId="10">
  <autoFilter ref="A3:B11" xr:uid="{FDF5D60E-1C5A-BC4B-AAD2-2731F77A6A2E}">
    <filterColumn colId="0" hiddenButton="1"/>
    <filterColumn colId="1" hiddenButton="1"/>
  </autoFilter>
  <tableColumns count="2">
    <tableColumn id="1" xr3:uid="{57B00E48-8D25-0D4D-BB7B-79D4B1623B5B}" name="Test Input" dataDxfId="9"/>
    <tableColumn id="2" xr3:uid="{8334669A-A143-284D-8721-9F592D4FCB67}" name="Value" dataDxfId="8"/>
  </tableColumns>
  <tableStyleInfo name="TableStyleMedium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4588FA-2FB5-AC46-AEB9-7BBED3D63E28}" name="Table4" displayName="Table4" ref="A14:B18" headerRowCount="0" totalsRowShown="0" headerRowDxfId="7" dataDxfId="6">
  <tableColumns count="2">
    <tableColumn id="1" xr3:uid="{955FE443-426F-BB40-927E-A8DA9757B391}" name="Column1" dataDxfId="5"/>
    <tableColumn id="2" xr3:uid="{E9041692-D07C-5540-82E3-18BAAEC04286}" name="Column2" dataDxfId="4"/>
  </tableColumns>
  <tableStyleInfo name="TableStyleMedium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2C37BA-9D5C-F44B-92E1-8E903143757E}" name="Table5" displayName="Table5" ref="A21:B23" headerRowCount="0" totalsRowShown="0" headerRowDxfId="3" dataDxfId="2">
  <tableColumns count="2">
    <tableColumn id="1" xr3:uid="{21EEAAB0-1271-1A42-8B3A-7D597C039C45}" name="Column1" dataDxfId="1"/>
    <tableColumn id="2" xr3:uid="{50058304-874E-D248-98A6-8668479A7DBF}" name="Column2" dataDxfId="0"/>
  </tableColumns>
  <tableStyleInfo name="TableStyleMedium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338835-7F3D-B347-8D2A-38A0F075D2FB}" name="Table6" displayName="Table6" ref="A1:B12" totalsRowShown="0" headerRowDxfId="28" dataDxfId="27">
  <autoFilter ref="A1:B12" xr:uid="{7D338835-7F3D-B347-8D2A-38A0F075D2FB}">
    <filterColumn colId="0" hiddenButton="1"/>
    <filterColumn colId="1" hiddenButton="1"/>
  </autoFilter>
  <tableColumns count="2">
    <tableColumn id="1" xr3:uid="{9AE6AE07-3C79-0D4D-A4E1-31986C6D78F8}" name="Data Quality Check" dataDxfId="26"/>
    <tableColumn id="2" xr3:uid="{48BF4A79-D5A2-2647-BD97-E3CE49EEA0E2}" name="Result" dataDxfId="25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workbookViewId="0"/>
  </sheetViews>
  <sheetFormatPr baseColWidth="10" defaultColWidth="8.83203125" defaultRowHeight="14"/>
  <cols>
    <col min="1" max="16" width="16" customWidth="1"/>
  </cols>
  <sheetData>
    <row r="1" spans="1:16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C013-B1CB-924F-B8CC-53DA55221F41}">
  <dimension ref="A1:E18"/>
  <sheetViews>
    <sheetView tabSelected="1" zoomScale="150" zoomScaleNormal="150" workbookViewId="0">
      <selection activeCell="B10" sqref="B10"/>
    </sheetView>
  </sheetViews>
  <sheetFormatPr baseColWidth="10" defaultRowHeight="14"/>
  <cols>
    <col min="1" max="1" width="48.5" customWidth="1"/>
    <col min="2" max="2" width="15.6640625" bestFit="1" customWidth="1"/>
    <col min="3" max="3" width="17.83203125" bestFit="1" customWidth="1"/>
    <col min="4" max="4" width="11.5" customWidth="1"/>
    <col min="5" max="5" width="23.33203125" bestFit="1" customWidth="1"/>
  </cols>
  <sheetData>
    <row r="1" spans="1:5">
      <c r="A1" s="4" t="s">
        <v>1451</v>
      </c>
      <c r="B1" s="4" t="s">
        <v>17</v>
      </c>
      <c r="C1" s="4" t="s">
        <v>723</v>
      </c>
      <c r="D1" s="4" t="s">
        <v>1452</v>
      </c>
      <c r="E1" s="4" t="s">
        <v>1453</v>
      </c>
    </row>
    <row r="2" spans="1:5">
      <c r="A2" s="4" t="s">
        <v>1454</v>
      </c>
      <c r="B2" s="4">
        <f>COUNTIF(Raw_Data!C:C,"Control")</f>
        <v>693</v>
      </c>
      <c r="C2" s="4">
        <f>COUNTIF(Raw_Data!C:C,"Treatment")</f>
        <v>715</v>
      </c>
      <c r="D2" s="4">
        <f t="shared" ref="D2:D11" si="0">C2-B2</f>
        <v>22</v>
      </c>
      <c r="E2" s="4" t="str">
        <f t="shared" ref="E2:E7" si="1">ROUND((C2-B2)/B2*100,2)&amp;"%"</f>
        <v>3.17%</v>
      </c>
    </row>
    <row r="3" spans="1:5">
      <c r="A3" s="4" t="s">
        <v>1455</v>
      </c>
      <c r="B3" s="5">
        <f>COUNTIFS(Raw_Data!C:C,"Control",Raw_Data!H:H,1)/B2</f>
        <v>0.63636363636363635</v>
      </c>
      <c r="C3" s="5">
        <f>COUNTIFS(Raw_Data!C:C,"Treatment",Raw_Data!H:H,1)/C2</f>
        <v>0.72587412587412592</v>
      </c>
      <c r="D3" s="5">
        <f t="shared" si="0"/>
        <v>8.9510489510489566E-2</v>
      </c>
      <c r="E3" s="4" t="str">
        <f t="shared" si="1"/>
        <v>14.07%</v>
      </c>
    </row>
    <row r="4" spans="1:5">
      <c r="A4" s="4" t="s">
        <v>1456</v>
      </c>
      <c r="B4" s="5">
        <f>COUNTIFS(Raw_Data!C:C,"Control",Raw_Data!I:I,1)/B2</f>
        <v>0.25108225108225107</v>
      </c>
      <c r="C4" s="5">
        <f>COUNTIFS(Raw_Data!C:C,"Treatment",Raw_Data!I:I,1)/C2</f>
        <v>0.29090909090909089</v>
      </c>
      <c r="D4" s="5">
        <f t="shared" si="0"/>
        <v>3.9826839826839822E-2</v>
      </c>
      <c r="E4" s="4" t="str">
        <f t="shared" si="1"/>
        <v>15.86%</v>
      </c>
    </row>
    <row r="5" spans="1:5">
      <c r="A5" s="4" t="s">
        <v>1457</v>
      </c>
      <c r="B5" s="5">
        <f>COUNTIFS(Raw_Data!C:C,"Control",Raw_Data!J:J,1)/B2</f>
        <v>0.15584415584415584</v>
      </c>
      <c r="C5" s="5">
        <f>COUNTIFS(Raw_Data!C:C,"Treatment",Raw_Data!J:J,1)/C2</f>
        <v>0.21258741258741259</v>
      </c>
      <c r="D5" s="5">
        <f t="shared" si="0"/>
        <v>5.6743256743256754E-2</v>
      </c>
      <c r="E5" s="4" t="str">
        <f t="shared" si="1"/>
        <v>36.41%</v>
      </c>
    </row>
    <row r="6" spans="1:5">
      <c r="A6" s="4" t="s">
        <v>1458</v>
      </c>
      <c r="B6" s="5">
        <f>COUNTIFS(Raw_Data!C:C,"Control",Raw_Data!K:K,1)/B2</f>
        <v>3.1746031746031744E-2</v>
      </c>
      <c r="C6" s="5">
        <f>COUNTIFS(Raw_Data!C:C,"Treatment",Raw_Data!K:K,1)/C2</f>
        <v>6.9930069930069935E-2</v>
      </c>
      <c r="D6" s="5">
        <f t="shared" si="0"/>
        <v>3.8184038184038191E-2</v>
      </c>
      <c r="E6" s="4" t="str">
        <f t="shared" si="1"/>
        <v>120.28%</v>
      </c>
    </row>
    <row r="7" spans="1:5">
      <c r="A7" s="4" t="s">
        <v>1459</v>
      </c>
      <c r="B7" s="6">
        <f>AVERAGEIF(Raw_Data!C:C,"Control",Raw_Data!L:L)</f>
        <v>51.74932178932179</v>
      </c>
      <c r="C7" s="6">
        <f>AVERAGEIF(Raw_Data!C:C,"Treatment",Raw_Data!L:L)</f>
        <v>53.875118881118873</v>
      </c>
      <c r="D7" s="6">
        <f t="shared" si="0"/>
        <v>2.1257970917970823</v>
      </c>
      <c r="E7" s="4" t="str">
        <f t="shared" si="1"/>
        <v>4.11%</v>
      </c>
    </row>
    <row r="8" spans="1:5">
      <c r="A8" s="4" t="s">
        <v>1460</v>
      </c>
      <c r="B8" s="5">
        <f>COUNTIFS(Raw_Data!C:C,"Control",Raw_Data!N:N,1)/B2</f>
        <v>0</v>
      </c>
      <c r="C8" s="5">
        <f>COUNTIFS(Raw_Data!C:C,"Treatment",Raw_Data!N:N,1)/C2</f>
        <v>4.1958041958041958E-3</v>
      </c>
      <c r="D8" s="5">
        <f t="shared" si="0"/>
        <v>4.1958041958041958E-3</v>
      </c>
      <c r="E8" s="4" t="str">
        <f>IF(B8=0,"N/A - Control had 0 refunds",ROUND((C8-B8)/B8*100,2)&amp;"%")</f>
        <v>N/A - Control had 0 refunds</v>
      </c>
    </row>
    <row r="9" spans="1:5">
      <c r="A9" s="4" t="s">
        <v>1461</v>
      </c>
      <c r="B9" s="5">
        <f>AVERAGEIF(Raw_Data!C:C,"Control",Raw_Data!M:M)</f>
        <v>0.21933621933621933</v>
      </c>
      <c r="C9" s="5">
        <f>AVERAGEIF(Raw_Data!C:C,"Treatment",Raw_Data!M:M)</f>
        <v>0.37202797202797205</v>
      </c>
      <c r="D9" s="5">
        <f t="shared" si="0"/>
        <v>0.15269175269175272</v>
      </c>
      <c r="E9" s="4" t="str">
        <f>ROUND((C9-B9)/B9*100,2)&amp;"%"</f>
        <v>69.62%</v>
      </c>
    </row>
    <row r="10" spans="1:5">
      <c r="A10" s="4" t="s">
        <v>1462</v>
      </c>
      <c r="B10" s="5">
        <f>AVERAGEIF(Raw_Data!C:C,"Control",Raw_Data!P:P)</f>
        <v>57.026200873362491</v>
      </c>
      <c r="C10" s="5">
        <f>AVERAGEIF(Raw_Data!C:C,"Treatment",Raw_Data!P:P)</f>
        <v>62.931966053748233</v>
      </c>
      <c r="D10" s="5">
        <f t="shared" si="0"/>
        <v>5.9057651803857425</v>
      </c>
      <c r="E10" s="4" t="str">
        <f>ROUND((C10-B10)/B10*100,2)&amp;"%"</f>
        <v>10.36%</v>
      </c>
    </row>
    <row r="11" spans="1:5">
      <c r="A11" s="4" t="s">
        <v>1463</v>
      </c>
      <c r="B11" s="5">
        <f>AVERAGEIFS(Raw_Data!O:O,Raw_Data!C:C,"Control",Raw_Data!K:K,1)</f>
        <v>8.8636363636363633</v>
      </c>
      <c r="C11" s="5">
        <f>AVERAGEIFS(Raw_Data!O:O,Raw_Data!C:C,"Treatment",Raw_Data!K:K,1)</f>
        <v>6.4</v>
      </c>
      <c r="D11" s="5">
        <f t="shared" si="0"/>
        <v>-2.463636363636363</v>
      </c>
      <c r="E11" s="4" t="str">
        <f>ROUND((C11-B11)/B11*100,2)&amp;"%"</f>
        <v>-27.79%</v>
      </c>
    </row>
    <row r="13" spans="1:5">
      <c r="A13" s="4" t="s">
        <v>1464</v>
      </c>
      <c r="B13" s="4" t="s">
        <v>1468</v>
      </c>
      <c r="C13" s="4" t="s">
        <v>1469</v>
      </c>
      <c r="D13" s="4" t="s">
        <v>1470</v>
      </c>
    </row>
    <row r="14" spans="1:5">
      <c r="A14" s="4" t="s">
        <v>1465</v>
      </c>
      <c r="B14" s="4" t="s">
        <v>1466</v>
      </c>
      <c r="C14" s="4" t="s">
        <v>1467</v>
      </c>
      <c r="D14" s="4" t="s">
        <v>1452</v>
      </c>
    </row>
    <row r="15" spans="1:5">
      <c r="A15" s="4" t="s">
        <v>18</v>
      </c>
      <c r="B15" s="5">
        <f>COUNTIFS(Raw_Data!C:C,"Control",Raw_Data!D:D,"North",Raw_Data!K:K,1)/COUNTIFS(Raw_Data!C:C,"Control",Raw_Data!D:D,"North")</f>
        <v>3.4482758620689655E-2</v>
      </c>
      <c r="C15" s="5">
        <f>COUNTIFS(Raw_Data!C:C,"Treatment",Raw_Data!D:D,"North",Raw_Data!K:K,1)/COUNTIFS(Raw_Data!C:C,"Treatment",Raw_Data!D:D,"North")</f>
        <v>8.8888888888888892E-2</v>
      </c>
      <c r="D15" s="5">
        <f>C15-B15</f>
        <v>5.4406130268199238E-2</v>
      </c>
    </row>
    <row r="16" spans="1:5">
      <c r="A16" s="4" t="s">
        <v>32</v>
      </c>
      <c r="B16" s="5">
        <f>COUNTIFS(Raw_Data!C:C,"Control",Raw_Data!D:D,"South",Raw_Data!K:K,1)/COUNTIFS(Raw_Data!C:C,"Control",Raw_Data!D:D,"South")</f>
        <v>3.2608695652173912E-2</v>
      </c>
      <c r="C16" s="5">
        <f>COUNTIFS(Raw_Data!C:C,"Treatment",Raw_Data!D:D,"South",Raw_Data!K:K,1)/COUNTIFS(Raw_Data!C:C,"Treatment",Raw_Data!D:D,"South")</f>
        <v>7.6086956521739135E-2</v>
      </c>
      <c r="D16" s="5">
        <f>C16-B16</f>
        <v>4.3478260869565223E-2</v>
      </c>
    </row>
    <row r="17" spans="1:4">
      <c r="A17" s="4" t="s">
        <v>28</v>
      </c>
      <c r="B17" s="5">
        <f>COUNTIFS(Raw_Data!C:C,"Control",Raw_Data!D:D,"East",Raw_Data!K:K,1)/COUNTIFS(Raw_Data!C:C,"Control",Raw_Data!D:D,"East")</f>
        <v>2.5316455696202531E-2</v>
      </c>
      <c r="C17" s="5">
        <f>COUNTIFS(Raw_Data!C:C,"Treatment",Raw_Data!D:D,"East",Raw_Data!K:K,1)/COUNTIFS(Raw_Data!C:C,"Treatment",Raw_Data!D:D,"East")</f>
        <v>6.3953488372093026E-2</v>
      </c>
      <c r="D17" s="5">
        <f>C17-B17</f>
        <v>3.8637032675890498E-2</v>
      </c>
    </row>
    <row r="18" spans="1:4">
      <c r="A18" s="4" t="s">
        <v>23</v>
      </c>
      <c r="B18" s="5">
        <f>COUNTIFS(Raw_Data!C:C,"Control",Raw_Data!D:D,"West",Raw_Data!K:K,1)/COUNTIFS(Raw_Data!C:C,"Control",Raw_Data!D:D,"West")</f>
        <v>3.3783783783783786E-2</v>
      </c>
      <c r="C18" s="5">
        <f>COUNTIFS(Raw_Data!C:C,"Treatment",Raw_Data!D:D,"West",Raw_Data!K:K,1)/COUNTIFS(Raw_Data!C:C,"Treatment",Raw_Data!D:D,"West")</f>
        <v>5.027932960893855E-2</v>
      </c>
      <c r="D18" s="5">
        <f>C18-B18</f>
        <v>1.6495545825154764E-2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98B2-1FBC-674F-8D39-54E18747CEF4}">
  <dimension ref="A1:B23"/>
  <sheetViews>
    <sheetView zoomScale="150" zoomScaleNormal="150" workbookViewId="0">
      <selection activeCell="E10" sqref="E10"/>
    </sheetView>
  </sheetViews>
  <sheetFormatPr baseColWidth="10" defaultRowHeight="14"/>
  <cols>
    <col min="1" max="1" width="32.6640625" bestFit="1" customWidth="1"/>
    <col min="2" max="2" width="40.5" bestFit="1" customWidth="1"/>
  </cols>
  <sheetData>
    <row r="1" spans="1:2">
      <c r="A1" s="7" t="s">
        <v>1471</v>
      </c>
      <c r="B1" s="8"/>
    </row>
    <row r="2" spans="1:2" ht="15" thickBot="1">
      <c r="A2" s="9"/>
      <c r="B2" s="10"/>
    </row>
    <row r="3" spans="1:2">
      <c r="A3" s="4" t="s">
        <v>1472</v>
      </c>
      <c r="B3" s="4" t="s">
        <v>1473</v>
      </c>
    </row>
    <row r="4" spans="1:2">
      <c r="A4" s="4" t="s">
        <v>1474</v>
      </c>
      <c r="B4" s="4" t="s">
        <v>1458</v>
      </c>
    </row>
    <row r="5" spans="1:2">
      <c r="A5" s="4" t="s">
        <v>1475</v>
      </c>
      <c r="B5" s="4">
        <v>693</v>
      </c>
    </row>
    <row r="6" spans="1:2">
      <c r="A6" s="4" t="s">
        <v>1476</v>
      </c>
      <c r="B6" s="4">
        <v>715</v>
      </c>
    </row>
    <row r="7" spans="1:2">
      <c r="A7" s="4" t="s">
        <v>1477</v>
      </c>
      <c r="B7" s="4">
        <f>COUNTIFS(Raw_Data!C:C,"Control",Raw_Data!K:K,1)</f>
        <v>22</v>
      </c>
    </row>
    <row r="8" spans="1:2">
      <c r="A8" s="4" t="s">
        <v>1478</v>
      </c>
      <c r="B8" s="4">
        <f>COUNTIFS(Raw_Data!C:C,"Treatment",Raw_Data!K:K,1)</f>
        <v>50</v>
      </c>
    </row>
    <row r="9" spans="1:2">
      <c r="A9" s="4" t="s">
        <v>1479</v>
      </c>
      <c r="B9" s="4">
        <f>B7/B5</f>
        <v>3.1746031746031744E-2</v>
      </c>
    </row>
    <row r="10" spans="1:2">
      <c r="A10" s="4" t="s">
        <v>1480</v>
      </c>
      <c r="B10" s="4">
        <f>B8/B6</f>
        <v>6.9930069930069935E-2</v>
      </c>
    </row>
    <row r="11" spans="1:2">
      <c r="A11" s="4" t="s">
        <v>1481</v>
      </c>
      <c r="B11" s="4">
        <v>0.05</v>
      </c>
    </row>
    <row r="12" spans="1:2">
      <c r="A12" s="4"/>
      <c r="B12" s="4"/>
    </row>
    <row r="13" spans="1:2" ht="15">
      <c r="A13" s="11" t="s">
        <v>1482</v>
      </c>
      <c r="B13" s="12"/>
    </row>
    <row r="14" spans="1:2">
      <c r="A14" s="4" t="s">
        <v>1483</v>
      </c>
      <c r="B14" s="4">
        <f>(B7+B8)/(B5+B6)</f>
        <v>5.113636363636364E-2</v>
      </c>
    </row>
    <row r="15" spans="1:2">
      <c r="A15" s="4" t="s">
        <v>1484</v>
      </c>
      <c r="B15" s="4">
        <f>SQRT(B14*(1-B14)*(1/B5+1/B6))</f>
        <v>1.1742174001237782E-2</v>
      </c>
    </row>
    <row r="16" spans="1:2">
      <c r="A16" s="4" t="s">
        <v>1485</v>
      </c>
      <c r="B16" s="4">
        <f>(B10-B9)/B15</f>
        <v>3.2518712616601562</v>
      </c>
    </row>
    <row r="17" spans="1:2">
      <c r="A17" s="4" t="s">
        <v>1486</v>
      </c>
      <c r="B17" s="4">
        <f>1-_xlfn.NORM.S.DIST(B16,TRUE)</f>
        <v>5.7323968694367178E-4</v>
      </c>
    </row>
    <row r="18" spans="1:2">
      <c r="A18" s="4" t="s">
        <v>1487</v>
      </c>
      <c r="B18" s="4">
        <f>2*(1-_xlfn.NORM.S.DIST(ABS(B16),TRUE))</f>
        <v>1.1464793738873436E-3</v>
      </c>
    </row>
    <row r="19" spans="1:2">
      <c r="A19" s="4"/>
      <c r="B19" s="4"/>
    </row>
    <row r="20" spans="1:2" ht="15">
      <c r="A20" s="11" t="s">
        <v>1488</v>
      </c>
      <c r="B20" s="12"/>
    </row>
    <row r="21" spans="1:2">
      <c r="A21" s="4" t="s">
        <v>1489</v>
      </c>
      <c r="B21" s="4" t="s">
        <v>1490</v>
      </c>
    </row>
    <row r="22" spans="1:2">
      <c r="A22" s="4" t="s">
        <v>1491</v>
      </c>
      <c r="B22" s="4" t="str">
        <f>IF(B18&lt;0.05,"REJECT H0 - Significant","FAIL TO REJECT H0")</f>
        <v>REJECT H0 - Significant</v>
      </c>
    </row>
    <row r="23" spans="1:2">
      <c r="A23" s="4" t="s">
        <v>1492</v>
      </c>
      <c r="B23" s="4" t="str">
        <f>IF(B18&lt;0.05,"Treatment significantly improves conversion rate","No significant difference found")</f>
        <v>Treatment significantly improves conversion rate</v>
      </c>
    </row>
  </sheetData>
  <mergeCells count="3">
    <mergeCell ref="A1:B2"/>
    <mergeCell ref="A13:B13"/>
    <mergeCell ref="A20:B20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6201-30B4-964B-A76E-7E86ADB998CE}">
  <dimension ref="A1:B12"/>
  <sheetViews>
    <sheetView zoomScale="150" zoomScaleNormal="150" workbookViewId="0">
      <selection activeCell="E9" sqref="E9"/>
    </sheetView>
  </sheetViews>
  <sheetFormatPr baseColWidth="10" defaultRowHeight="14"/>
  <cols>
    <col min="1" max="1" width="22.83203125" bestFit="1" customWidth="1"/>
    <col min="2" max="2" width="25.33203125" bestFit="1" customWidth="1"/>
  </cols>
  <sheetData>
    <row r="1" spans="1:2">
      <c r="A1" s="4" t="s">
        <v>1493</v>
      </c>
      <c r="B1" s="4" t="s">
        <v>1494</v>
      </c>
    </row>
    <row r="2" spans="1:2">
      <c r="A2" s="4" t="s">
        <v>1495</v>
      </c>
      <c r="B2" s="4">
        <v>1408</v>
      </c>
    </row>
    <row r="3" spans="1:2">
      <c r="A3" s="4" t="s">
        <v>1496</v>
      </c>
      <c r="B3" s="4">
        <v>693</v>
      </c>
    </row>
    <row r="4" spans="1:2">
      <c r="A4" s="4" t="s">
        <v>1497</v>
      </c>
      <c r="B4" s="4">
        <v>715</v>
      </c>
    </row>
    <row r="5" spans="1:2">
      <c r="A5" s="4" t="s">
        <v>1498</v>
      </c>
      <c r="B5" s="4">
        <v>8</v>
      </c>
    </row>
    <row r="6" spans="1:2">
      <c r="A6" s="4" t="s">
        <v>1499</v>
      </c>
      <c r="B6" s="4">
        <v>18</v>
      </c>
    </row>
    <row r="7" spans="1:2">
      <c r="A7" s="4" t="s">
        <v>1500</v>
      </c>
      <c r="B7" s="4">
        <v>24</v>
      </c>
    </row>
    <row r="8" spans="1:2">
      <c r="A8" s="4" t="s">
        <v>1501</v>
      </c>
      <c r="B8" s="4">
        <v>14</v>
      </c>
    </row>
    <row r="9" spans="1:2">
      <c r="A9" s="4" t="s">
        <v>1502</v>
      </c>
      <c r="B9" s="4">
        <v>8610.7199999999993</v>
      </c>
    </row>
    <row r="10" spans="1:2">
      <c r="A10" s="4" t="s">
        <v>1503</v>
      </c>
      <c r="B10" s="4">
        <v>1336</v>
      </c>
    </row>
    <row r="11" spans="1:2">
      <c r="A11" s="4" t="s">
        <v>1504</v>
      </c>
      <c r="B11" s="4" t="s">
        <v>1505</v>
      </c>
    </row>
    <row r="12" spans="1:2">
      <c r="A12" s="4" t="s">
        <v>1506</v>
      </c>
      <c r="B12" s="4" t="s">
        <v>1507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83203125" defaultRowHeight="14"/>
  <cols>
    <col min="1" max="2" width="28" customWidth="1"/>
  </cols>
  <sheetData>
    <row r="1" spans="1:2" ht="37.25" customHeight="1">
      <c r="A1" s="1" t="s">
        <v>1433</v>
      </c>
      <c r="B1" s="1" t="s">
        <v>1434</v>
      </c>
    </row>
    <row r="2" spans="1:2" ht="60">
      <c r="A2" s="3" t="s">
        <v>1435</v>
      </c>
      <c r="B2" s="3" t="s">
        <v>1436</v>
      </c>
    </row>
    <row r="3" spans="1:2" ht="15">
      <c r="A3" s="3" t="s">
        <v>17</v>
      </c>
      <c r="B3" s="3" t="s">
        <v>1437</v>
      </c>
    </row>
    <row r="4" spans="1:2" ht="15">
      <c r="A4" s="3" t="s">
        <v>723</v>
      </c>
      <c r="B4" s="3" t="s">
        <v>1438</v>
      </c>
    </row>
    <row r="5" spans="1:2" ht="45">
      <c r="A5" s="3" t="s">
        <v>1439</v>
      </c>
      <c r="B5" s="3" t="s">
        <v>1440</v>
      </c>
    </row>
    <row r="6" spans="1:2" ht="30">
      <c r="A6" s="3" t="s">
        <v>7</v>
      </c>
      <c r="B6" s="3" t="s">
        <v>1441</v>
      </c>
    </row>
    <row r="7" spans="1:2" ht="30">
      <c r="A7" s="3" t="s">
        <v>8</v>
      </c>
      <c r="B7" s="3" t="s">
        <v>1442</v>
      </c>
    </row>
    <row r="8" spans="1:2" ht="30">
      <c r="A8" s="3" t="s">
        <v>9</v>
      </c>
      <c r="B8" s="3" t="s">
        <v>1443</v>
      </c>
    </row>
    <row r="9" spans="1:2" ht="30">
      <c r="A9" s="3" t="s">
        <v>10</v>
      </c>
      <c r="B9" s="3" t="s">
        <v>1444</v>
      </c>
    </row>
    <row r="10" spans="1:2" ht="30">
      <c r="A10" s="3" t="s">
        <v>11</v>
      </c>
      <c r="B10" s="3" t="s">
        <v>1445</v>
      </c>
    </row>
    <row r="11" spans="1:2" ht="30">
      <c r="A11" s="3" t="s">
        <v>12</v>
      </c>
      <c r="B11" s="3" t="s">
        <v>1446</v>
      </c>
    </row>
    <row r="12" spans="1:2" ht="30">
      <c r="A12" s="3" t="s">
        <v>13</v>
      </c>
      <c r="B12" s="3" t="s">
        <v>1447</v>
      </c>
    </row>
    <row r="13" spans="1:2" ht="30">
      <c r="A13" s="3" t="s">
        <v>15</v>
      </c>
      <c r="B13" s="3" t="s">
        <v>1448</v>
      </c>
    </row>
    <row r="14" spans="1:2" ht="60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Experiment_Summary</vt:lpstr>
      <vt:lpstr>Hypothesis_Test</vt:lpstr>
      <vt:lpstr>Data_Checks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Shlok Khandelwal</cp:lastModifiedBy>
  <dcterms:created xsi:type="dcterms:W3CDTF">2026-06-27T19:10:50Z</dcterms:created>
  <dcterms:modified xsi:type="dcterms:W3CDTF">2026-06-27T20:27:15Z</dcterms:modified>
</cp:coreProperties>
</file>