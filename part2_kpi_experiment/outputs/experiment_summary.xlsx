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lok/Desktop/shlokkhandelwal_2511941_part2_kpi_experiment/part2_kpi_experiment/outputs/"/>
    </mc:Choice>
  </mc:AlternateContent>
  <xr:revisionPtr revIDLastSave="0" documentId="13_ncr:1_{947F46E5-CC06-F34D-85AC-C22DE5EC26CB}" xr6:coauthVersionLast="47" xr6:coauthVersionMax="47" xr10:uidLastSave="{00000000-0000-0000-0000-000000000000}"/>
  <bookViews>
    <workbookView xWindow="0" yWindow="660" windowWidth="29400" windowHeight="18460" xr2:uid="{C4C87578-BA2A-114B-B7BE-84848E7CA06E}"/>
  </bookViews>
  <sheets>
    <sheet name="Summary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" l="1"/>
  <c r="D18" i="1" s="1"/>
  <c r="B18" i="1"/>
  <c r="C17" i="1"/>
  <c r="D17" i="1" s="1"/>
  <c r="B17" i="1"/>
  <c r="C16" i="1"/>
  <c r="D16" i="1" s="1"/>
  <c r="B16" i="1"/>
  <c r="C15" i="1"/>
  <c r="D15" i="1" s="1"/>
  <c r="B15" i="1"/>
  <c r="C11" i="1"/>
  <c r="E11" i="1" s="1"/>
  <c r="B11" i="1"/>
  <c r="C10" i="1"/>
  <c r="E10" i="1" s="1"/>
  <c r="B10" i="1"/>
  <c r="C9" i="1"/>
  <c r="E9" i="1" s="1"/>
  <c r="B9" i="1"/>
  <c r="C7" i="1"/>
  <c r="E7" i="1" s="1"/>
  <c r="B7" i="1"/>
  <c r="C2" i="1"/>
  <c r="E2" i="1" s="1"/>
  <c r="B2" i="1"/>
  <c r="B8" i="1" s="1"/>
  <c r="E8" i="1" s="1"/>
  <c r="B3" i="1" l="1"/>
  <c r="B5" i="1"/>
  <c r="C3" i="1"/>
  <c r="C5" i="1"/>
  <c r="D7" i="1"/>
  <c r="D9" i="1"/>
  <c r="D11" i="1"/>
  <c r="B4" i="1"/>
  <c r="B6" i="1"/>
  <c r="D2" i="1"/>
  <c r="D10" i="1"/>
  <c r="C4" i="1"/>
  <c r="C6" i="1"/>
  <c r="C8" i="1"/>
  <c r="D8" i="1" s="1"/>
  <c r="E6" i="1" l="1"/>
  <c r="D6" i="1"/>
  <c r="E4" i="1"/>
  <c r="D4" i="1"/>
  <c r="E5" i="1"/>
  <c r="D5" i="1"/>
  <c r="E3" i="1"/>
  <c r="D3" i="1"/>
</calcChain>
</file>

<file path=xl/sharedStrings.xml><?xml version="1.0" encoding="utf-8"?>
<sst xmlns="http://schemas.openxmlformats.org/spreadsheetml/2006/main" count="27" uniqueCount="26">
  <si>
    <t>Metric</t>
  </si>
  <si>
    <t>Control</t>
  </si>
  <si>
    <t>Treatment</t>
  </si>
  <si>
    <t>Difference</t>
  </si>
  <si>
    <t>Lift %</t>
  </si>
  <si>
    <t>User Count</t>
  </si>
  <si>
    <t>Landing Page Visit Rate</t>
  </si>
  <si>
    <t>Trial Start Rate</t>
  </si>
  <si>
    <t>Onboarding Completion Rate</t>
  </si>
  <si>
    <t>Paid Conversion Rate</t>
  </si>
  <si>
    <t>Avg Revenue Per User</t>
  </si>
  <si>
    <t>Refund Rate</t>
  </si>
  <si>
    <t>Support Ticket Rate</t>
  </si>
  <si>
    <t>Avg Engagement Score</t>
  </si>
  <si>
    <t>Avg Days to Convert</t>
  </si>
  <si>
    <t>Segment Analysis by Region - Paid Conversion Rate</t>
  </si>
  <si>
    <t>Column1</t>
  </si>
  <si>
    <t>Column2</t>
  </si>
  <si>
    <t>Column3</t>
  </si>
  <si>
    <t>Region</t>
  </si>
  <si>
    <t>Control Conv Rate</t>
  </si>
  <si>
    <t>Treatment Conv Rate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</si>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</sst>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3"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nalysis/experiment_analysis.xlsx" TargetMode="External"/><Relationship Id="rId2" Type="http://schemas.openxmlformats.org/officeDocument/2006/relationships/externalLinkPath" Target="/Users/shlok/Desktop/shlokkhandelwal_2511941_part2_kpi_experiment/part2_kpi_experiment/analysis/experiment_analysis.xlsx" TargetMode="External"/><Relationship Id="rId1" Type="http://schemas.openxmlformats.org/officeDocument/2006/relationships/externalLinkPath" Target="/Users/shlok/Desktop/shlokkhandelwal_2511941_part2_kpi_experiment/part2_kpi_experiment/analysis/experiment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_Data"/>
      <sheetName val="Experiment_Summary"/>
      <sheetName val="Hypothesis_Test"/>
      <sheetName val="Data_Checks"/>
      <sheetName val="business_context"/>
    </sheetNames>
    <sheetDataSet>
      <sheetData sheetId="0">
        <row r="1">
          <cell r="C1" t="str">
            <v>experiment_group</v>
          </cell>
          <cell r="D1" t="str">
            <v>region</v>
          </cell>
          <cell r="H1" t="str">
            <v>visited_landing_page</v>
          </cell>
          <cell r="I1" t="str">
            <v>started_trial</v>
          </cell>
          <cell r="J1" t="str">
            <v>completed_onboarding</v>
          </cell>
          <cell r="K1" t="str">
            <v>converted_to_paid</v>
          </cell>
          <cell r="L1" t="str">
            <v>revenue_30d</v>
          </cell>
          <cell r="M1" t="str">
            <v>support_tickets_30d</v>
          </cell>
          <cell r="N1" t="str">
            <v>refund_requested</v>
          </cell>
          <cell r="O1" t="str">
            <v>days_to_convert</v>
          </cell>
          <cell r="P1" t="str">
            <v>engagement_score</v>
          </cell>
        </row>
        <row r="2">
          <cell r="C2" t="str">
            <v>Control</v>
          </cell>
          <cell r="D2" t="str">
            <v>North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P2">
            <v>45.7</v>
          </cell>
        </row>
        <row r="3">
          <cell r="C3" t="str">
            <v>Control</v>
          </cell>
          <cell r="D3" t="str">
            <v>West</v>
          </cell>
          <cell r="H3">
            <v>1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P3">
            <v>48.6</v>
          </cell>
        </row>
        <row r="4">
          <cell r="C4" t="str">
            <v>Control</v>
          </cell>
          <cell r="D4" t="str">
            <v>East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</v>
          </cell>
          <cell r="N4">
            <v>0</v>
          </cell>
          <cell r="P4">
            <v>35.4</v>
          </cell>
        </row>
        <row r="5">
          <cell r="C5" t="str">
            <v>Control</v>
          </cell>
          <cell r="D5" t="str">
            <v>South</v>
          </cell>
          <cell r="H5">
            <v>1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P5">
            <v>64.599999999999994</v>
          </cell>
        </row>
        <row r="6">
          <cell r="C6" t="str">
            <v>Control</v>
          </cell>
          <cell r="D6" t="str">
            <v>North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P6">
            <v>66.599999999999994</v>
          </cell>
        </row>
        <row r="7">
          <cell r="C7" t="str">
            <v>Control</v>
          </cell>
          <cell r="D7" t="str">
            <v>East</v>
          </cell>
          <cell r="H7">
            <v>1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P7">
            <v>40.799999999999997</v>
          </cell>
        </row>
        <row r="8">
          <cell r="C8" t="str">
            <v>Control</v>
          </cell>
          <cell r="D8" t="str">
            <v>East</v>
          </cell>
          <cell r="H8">
            <v>1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P8">
            <v>57.1</v>
          </cell>
        </row>
        <row r="9">
          <cell r="C9" t="str">
            <v>Control</v>
          </cell>
          <cell r="D9" t="str">
            <v>South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P9">
            <v>36.4</v>
          </cell>
        </row>
        <row r="10">
          <cell r="C10" t="str">
            <v>Control</v>
          </cell>
          <cell r="D10" t="str">
            <v>South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P10">
            <v>55.4</v>
          </cell>
        </row>
        <row r="11">
          <cell r="C11" t="str">
            <v>Control</v>
          </cell>
          <cell r="D11" t="str">
            <v>West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P11">
            <v>57.3</v>
          </cell>
        </row>
        <row r="12">
          <cell r="C12" t="str">
            <v>Control</v>
          </cell>
          <cell r="D12" t="str">
            <v>East</v>
          </cell>
          <cell r="H12">
            <v>1</v>
          </cell>
          <cell r="I12">
            <v>1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P12">
            <v>63.6</v>
          </cell>
        </row>
        <row r="13">
          <cell r="C13" t="str">
            <v>Control</v>
          </cell>
          <cell r="D13" t="str">
            <v>East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P13">
            <v>80.400000000000006</v>
          </cell>
        </row>
        <row r="14">
          <cell r="C14" t="str">
            <v>Control</v>
          </cell>
          <cell r="D14" t="str">
            <v>South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P14">
            <v>62.4</v>
          </cell>
        </row>
        <row r="15">
          <cell r="C15" t="str">
            <v>Control</v>
          </cell>
          <cell r="D15" t="str">
            <v>West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P15">
            <v>82.4</v>
          </cell>
        </row>
        <row r="16">
          <cell r="C16" t="str">
            <v>Control</v>
          </cell>
          <cell r="D16" t="str">
            <v>South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P16">
            <v>61.2</v>
          </cell>
        </row>
        <row r="17">
          <cell r="C17" t="str">
            <v>Control</v>
          </cell>
          <cell r="D17" t="str">
            <v>South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P17">
            <v>68.900000000000006</v>
          </cell>
        </row>
        <row r="18">
          <cell r="C18" t="str">
            <v>Control</v>
          </cell>
          <cell r="D18" t="str">
            <v>East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P18">
            <v>71.900000000000006</v>
          </cell>
        </row>
        <row r="19">
          <cell r="C19" t="str">
            <v>Control</v>
          </cell>
          <cell r="D19" t="str">
            <v>South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P19">
            <v>50.5</v>
          </cell>
        </row>
        <row r="20">
          <cell r="C20" t="str">
            <v>Control</v>
          </cell>
          <cell r="D20" t="str">
            <v>North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P20">
            <v>49.3</v>
          </cell>
        </row>
        <row r="21">
          <cell r="C21" t="str">
            <v>Control</v>
          </cell>
          <cell r="D21" t="str">
            <v>West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P21">
            <v>60.9</v>
          </cell>
        </row>
        <row r="22">
          <cell r="C22" t="str">
            <v>Control</v>
          </cell>
          <cell r="D22" t="str">
            <v>East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P22">
            <v>62.7</v>
          </cell>
        </row>
        <row r="23">
          <cell r="C23" t="str">
            <v>Control</v>
          </cell>
          <cell r="D23" t="str">
            <v>North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P23">
            <v>52.7</v>
          </cell>
        </row>
        <row r="24">
          <cell r="C24" t="str">
            <v>Control</v>
          </cell>
          <cell r="D24" t="str">
            <v>North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P24">
            <v>54</v>
          </cell>
        </row>
        <row r="25">
          <cell r="C25" t="str">
            <v>Control</v>
          </cell>
          <cell r="D25" t="str">
            <v>East</v>
          </cell>
          <cell r="H25">
            <v>1</v>
          </cell>
          <cell r="I25">
            <v>1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P25">
            <v>51.6</v>
          </cell>
        </row>
        <row r="26">
          <cell r="C26" t="str">
            <v>Control</v>
          </cell>
          <cell r="D26" t="str">
            <v>North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0</v>
          </cell>
          <cell r="P26">
            <v>66.900000000000006</v>
          </cell>
        </row>
        <row r="27">
          <cell r="C27" t="str">
            <v>Control</v>
          </cell>
          <cell r="D27" t="str">
            <v>East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P27">
            <v>67.400000000000006</v>
          </cell>
        </row>
        <row r="28">
          <cell r="C28" t="str">
            <v>Control</v>
          </cell>
          <cell r="D28" t="str">
            <v>North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P28">
            <v>58.8</v>
          </cell>
        </row>
        <row r="29">
          <cell r="C29" t="str">
            <v>Control</v>
          </cell>
          <cell r="D29" t="str">
            <v>South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P29">
            <v>73.8</v>
          </cell>
        </row>
        <row r="30">
          <cell r="C30" t="str">
            <v>Control</v>
          </cell>
          <cell r="D30" t="str">
            <v>East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>
            <v>60.1</v>
          </cell>
        </row>
        <row r="31">
          <cell r="C31" t="str">
            <v>Control</v>
          </cell>
          <cell r="D31" t="str">
            <v>East</v>
          </cell>
          <cell r="H31">
            <v>1</v>
          </cell>
          <cell r="I31">
            <v>1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P31">
            <v>41</v>
          </cell>
        </row>
        <row r="32">
          <cell r="C32" t="str">
            <v>Control</v>
          </cell>
          <cell r="D32" t="str">
            <v>South</v>
          </cell>
          <cell r="H32">
            <v>1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P32">
            <v>80.3</v>
          </cell>
        </row>
        <row r="33">
          <cell r="C33" t="str">
            <v>Control</v>
          </cell>
          <cell r="D33" t="str">
            <v>East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P33">
            <v>67.599999999999994</v>
          </cell>
        </row>
        <row r="34">
          <cell r="C34" t="str">
            <v>Control</v>
          </cell>
          <cell r="D34" t="str">
            <v>East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P34">
            <v>64</v>
          </cell>
        </row>
        <row r="35">
          <cell r="C35" t="str">
            <v>Control</v>
          </cell>
          <cell r="D35" t="str">
            <v>North</v>
          </cell>
          <cell r="H35">
            <v>1</v>
          </cell>
          <cell r="I35">
            <v>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P35">
            <v>27.2</v>
          </cell>
        </row>
        <row r="36">
          <cell r="C36" t="str">
            <v>Control</v>
          </cell>
          <cell r="D36" t="str">
            <v>North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P36">
            <v>85.4</v>
          </cell>
        </row>
        <row r="37">
          <cell r="C37" t="str">
            <v>Control</v>
          </cell>
          <cell r="D37" t="str">
            <v>East</v>
          </cell>
          <cell r="H37">
            <v>1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P37">
            <v>75.900000000000006</v>
          </cell>
        </row>
        <row r="38">
          <cell r="C38" t="str">
            <v>Control</v>
          </cell>
          <cell r="D38" t="str">
            <v>East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1</v>
          </cell>
          <cell r="N38">
            <v>0</v>
          </cell>
          <cell r="P38">
            <v>34.799999999999997</v>
          </cell>
        </row>
        <row r="39">
          <cell r="C39" t="str">
            <v>Control</v>
          </cell>
          <cell r="D39" t="str">
            <v>East</v>
          </cell>
          <cell r="H39">
            <v>1</v>
          </cell>
          <cell r="I39">
            <v>1</v>
          </cell>
          <cell r="J39">
            <v>1</v>
          </cell>
          <cell r="K39">
            <v>0</v>
          </cell>
          <cell r="L39">
            <v>0</v>
          </cell>
          <cell r="M39">
            <v>3</v>
          </cell>
          <cell r="N39">
            <v>0</v>
          </cell>
          <cell r="P39">
            <v>48.9</v>
          </cell>
        </row>
        <row r="40">
          <cell r="C40" t="str">
            <v>Control</v>
          </cell>
          <cell r="D40" t="str">
            <v>East</v>
          </cell>
          <cell r="H40">
            <v>1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P40">
            <v>41.5</v>
          </cell>
        </row>
        <row r="41">
          <cell r="C41" t="str">
            <v>Control</v>
          </cell>
          <cell r="D41" t="str">
            <v>North</v>
          </cell>
          <cell r="H41">
            <v>1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P41">
            <v>51.5</v>
          </cell>
        </row>
        <row r="42">
          <cell r="C42" t="str">
            <v>Control</v>
          </cell>
          <cell r="D42" t="str">
            <v>North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P42">
            <v>53.2</v>
          </cell>
        </row>
        <row r="43">
          <cell r="C43" t="str">
            <v>Control</v>
          </cell>
          <cell r="D43" t="str">
            <v>East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P43">
            <v>55.6</v>
          </cell>
        </row>
        <row r="44">
          <cell r="C44" t="str">
            <v>Control</v>
          </cell>
          <cell r="D44" t="str">
            <v>South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P44">
            <v>73</v>
          </cell>
        </row>
        <row r="45">
          <cell r="C45" t="str">
            <v>Control</v>
          </cell>
          <cell r="D45" t="str">
            <v>East</v>
          </cell>
          <cell r="H45">
            <v>1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P45">
            <v>65</v>
          </cell>
        </row>
        <row r="46">
          <cell r="C46" t="str">
            <v>Control</v>
          </cell>
          <cell r="D46" t="str">
            <v>East</v>
          </cell>
          <cell r="H46">
            <v>1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4</v>
          </cell>
          <cell r="N46">
            <v>0</v>
          </cell>
          <cell r="P46">
            <v>56.3</v>
          </cell>
        </row>
        <row r="47">
          <cell r="C47" t="str">
            <v>Control</v>
          </cell>
          <cell r="D47" t="str">
            <v>East</v>
          </cell>
          <cell r="H47">
            <v>1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P47">
            <v>62.4</v>
          </cell>
        </row>
        <row r="48">
          <cell r="C48" t="str">
            <v>Control</v>
          </cell>
          <cell r="D48" t="str">
            <v>West</v>
          </cell>
          <cell r="H48">
            <v>1</v>
          </cell>
          <cell r="I48">
            <v>1</v>
          </cell>
          <cell r="J48">
            <v>1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P48">
            <v>58.1</v>
          </cell>
        </row>
        <row r="49">
          <cell r="C49" t="str">
            <v>Control</v>
          </cell>
          <cell r="D49" t="str">
            <v>North</v>
          </cell>
          <cell r="H49">
            <v>1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P49">
            <v>80.8</v>
          </cell>
        </row>
        <row r="50">
          <cell r="C50" t="str">
            <v>Control</v>
          </cell>
          <cell r="D50" t="str">
            <v>North</v>
          </cell>
          <cell r="H50">
            <v>1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P50">
            <v>42.9</v>
          </cell>
        </row>
        <row r="51">
          <cell r="C51" t="str">
            <v>Control</v>
          </cell>
          <cell r="D51" t="str">
            <v>West</v>
          </cell>
          <cell r="H51">
            <v>1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P51">
            <v>52.7</v>
          </cell>
        </row>
        <row r="52">
          <cell r="C52" t="str">
            <v>Control</v>
          </cell>
          <cell r="D52" t="str">
            <v>North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P52">
            <v>46.9</v>
          </cell>
        </row>
        <row r="53">
          <cell r="C53" t="str">
            <v>Control</v>
          </cell>
          <cell r="D53" t="str">
            <v>East</v>
          </cell>
          <cell r="H53">
            <v>1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P53">
            <v>63</v>
          </cell>
        </row>
        <row r="54">
          <cell r="C54" t="str">
            <v>Control</v>
          </cell>
          <cell r="D54" t="str">
            <v>South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53.6</v>
          </cell>
        </row>
        <row r="55">
          <cell r="C55" t="str">
            <v>Control</v>
          </cell>
          <cell r="D55" t="str">
            <v>West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P55">
            <v>49.6</v>
          </cell>
        </row>
        <row r="56">
          <cell r="C56" t="str">
            <v>Control</v>
          </cell>
          <cell r="D56" t="str">
            <v>South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P56">
            <v>54</v>
          </cell>
        </row>
        <row r="57">
          <cell r="C57" t="str">
            <v>Control</v>
          </cell>
          <cell r="D57" t="str">
            <v>South</v>
          </cell>
          <cell r="H57">
            <v>1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</v>
          </cell>
          <cell r="N57">
            <v>0</v>
          </cell>
          <cell r="P57">
            <v>50</v>
          </cell>
        </row>
        <row r="58">
          <cell r="C58" t="str">
            <v>Control</v>
          </cell>
          <cell r="D58" t="str">
            <v>East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P58">
            <v>48.1</v>
          </cell>
        </row>
        <row r="59">
          <cell r="C59" t="str">
            <v>Control</v>
          </cell>
          <cell r="D59" t="str">
            <v>North</v>
          </cell>
          <cell r="H59">
            <v>1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P59">
            <v>49.6</v>
          </cell>
        </row>
        <row r="60">
          <cell r="C60" t="str">
            <v>Control</v>
          </cell>
          <cell r="D60" t="str">
            <v>North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2</v>
          </cell>
          <cell r="N60">
            <v>0</v>
          </cell>
          <cell r="P60">
            <v>48.9</v>
          </cell>
        </row>
        <row r="61">
          <cell r="C61" t="str">
            <v>Control</v>
          </cell>
          <cell r="D61" t="str">
            <v>West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240.42</v>
          </cell>
          <cell r="M61">
            <v>0</v>
          </cell>
          <cell r="N61">
            <v>0</v>
          </cell>
          <cell r="O61">
            <v>16</v>
          </cell>
          <cell r="P61">
            <v>56.5</v>
          </cell>
        </row>
        <row r="62">
          <cell r="C62" t="str">
            <v>Control</v>
          </cell>
          <cell r="D62" t="str">
            <v>South</v>
          </cell>
          <cell r="H62">
            <v>1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P62">
            <v>53.7</v>
          </cell>
        </row>
        <row r="63">
          <cell r="C63" t="str">
            <v>Control</v>
          </cell>
          <cell r="D63" t="str">
            <v>North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P63">
            <v>62.2</v>
          </cell>
        </row>
        <row r="64">
          <cell r="C64" t="str">
            <v>Control</v>
          </cell>
          <cell r="D64" t="str">
            <v>South</v>
          </cell>
          <cell r="H64">
            <v>1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P64">
            <v>50.2</v>
          </cell>
        </row>
        <row r="65">
          <cell r="C65" t="str">
            <v>Control</v>
          </cell>
          <cell r="D65" t="str">
            <v>North</v>
          </cell>
          <cell r="H65">
            <v>1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P65">
            <v>74.3</v>
          </cell>
        </row>
        <row r="66">
          <cell r="C66" t="str">
            <v>Control</v>
          </cell>
          <cell r="D66" t="str">
            <v>South</v>
          </cell>
          <cell r="H66">
            <v>1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P66">
            <v>58</v>
          </cell>
        </row>
        <row r="67">
          <cell r="C67" t="str">
            <v>Control</v>
          </cell>
          <cell r="D67" t="str">
            <v>South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P67">
            <v>46.7</v>
          </cell>
        </row>
        <row r="68">
          <cell r="C68" t="str">
            <v>Control</v>
          </cell>
          <cell r="D68" t="str">
            <v>South</v>
          </cell>
          <cell r="H68">
            <v>1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P68">
            <v>49.6</v>
          </cell>
        </row>
        <row r="69">
          <cell r="C69" t="str">
            <v>Control</v>
          </cell>
          <cell r="D69" t="str">
            <v>West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60.4</v>
          </cell>
        </row>
        <row r="70">
          <cell r="C70" t="str">
            <v>Control</v>
          </cell>
          <cell r="D70" t="str">
            <v>East</v>
          </cell>
          <cell r="H70">
            <v>1</v>
          </cell>
          <cell r="I70">
            <v>1</v>
          </cell>
          <cell r="J70">
            <v>1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55.3</v>
          </cell>
        </row>
        <row r="71">
          <cell r="C71" t="str">
            <v>Control</v>
          </cell>
          <cell r="D71" t="str">
            <v>North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P71">
            <v>56.2</v>
          </cell>
        </row>
        <row r="72">
          <cell r="C72" t="str">
            <v>Control</v>
          </cell>
          <cell r="D72" t="str">
            <v>West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P72">
            <v>29.4</v>
          </cell>
        </row>
        <row r="73">
          <cell r="C73" t="str">
            <v>Control</v>
          </cell>
          <cell r="D73" t="str">
            <v>East</v>
          </cell>
          <cell r="H73">
            <v>1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P73">
            <v>54.2</v>
          </cell>
        </row>
        <row r="74">
          <cell r="C74" t="str">
            <v>Control</v>
          </cell>
          <cell r="D74" t="str">
            <v>East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P74">
            <v>46.4</v>
          </cell>
        </row>
        <row r="75">
          <cell r="C75" t="str">
            <v>Control</v>
          </cell>
          <cell r="D75" t="str">
            <v>South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P75">
            <v>54.5</v>
          </cell>
        </row>
        <row r="76">
          <cell r="C76" t="str">
            <v>Control</v>
          </cell>
          <cell r="D76" t="str">
            <v>North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P76">
            <v>58.5</v>
          </cell>
        </row>
        <row r="77">
          <cell r="C77" t="str">
            <v>Control</v>
          </cell>
          <cell r="D77" t="str">
            <v>South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P77">
            <v>75.900000000000006</v>
          </cell>
        </row>
        <row r="78">
          <cell r="C78" t="str">
            <v>Control</v>
          </cell>
          <cell r="D78" t="str">
            <v>North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  <cell r="P78">
            <v>84.9</v>
          </cell>
        </row>
        <row r="79">
          <cell r="C79" t="str">
            <v>Control</v>
          </cell>
          <cell r="D79" t="str">
            <v>North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</v>
          </cell>
          <cell r="N79">
            <v>0</v>
          </cell>
          <cell r="P79">
            <v>48.4</v>
          </cell>
        </row>
        <row r="80">
          <cell r="C80" t="str">
            <v>Control</v>
          </cell>
          <cell r="D80" t="str">
            <v>West</v>
          </cell>
          <cell r="H80">
            <v>1</v>
          </cell>
          <cell r="I80">
            <v>1</v>
          </cell>
          <cell r="J80">
            <v>1</v>
          </cell>
          <cell r="K80">
            <v>1</v>
          </cell>
          <cell r="L80">
            <v>457.51</v>
          </cell>
          <cell r="M80">
            <v>0</v>
          </cell>
          <cell r="N80">
            <v>0</v>
          </cell>
          <cell r="O80">
            <v>7</v>
          </cell>
          <cell r="P80">
            <v>38</v>
          </cell>
        </row>
        <row r="81">
          <cell r="C81" t="str">
            <v>Control</v>
          </cell>
          <cell r="D81" t="str">
            <v>East</v>
          </cell>
          <cell r="H81">
            <v>1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P81">
            <v>44.2</v>
          </cell>
        </row>
        <row r="82">
          <cell r="C82" t="str">
            <v>Control</v>
          </cell>
          <cell r="D82" t="str">
            <v>South</v>
          </cell>
          <cell r="H82">
            <v>1</v>
          </cell>
          <cell r="I82">
            <v>1</v>
          </cell>
          <cell r="J82">
            <v>1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P82">
            <v>81.2</v>
          </cell>
        </row>
        <row r="83">
          <cell r="C83" t="str">
            <v>Control</v>
          </cell>
          <cell r="D83" t="str">
            <v>South</v>
          </cell>
          <cell r="H83">
            <v>1</v>
          </cell>
          <cell r="I83">
            <v>1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P83">
            <v>63.8</v>
          </cell>
        </row>
        <row r="84">
          <cell r="C84" t="str">
            <v>Control</v>
          </cell>
          <cell r="D84" t="str">
            <v>South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P84">
            <v>64.7</v>
          </cell>
        </row>
        <row r="85">
          <cell r="C85" t="str">
            <v>Control</v>
          </cell>
          <cell r="D85" t="str">
            <v>West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P85">
            <v>60.4</v>
          </cell>
        </row>
        <row r="86">
          <cell r="C86" t="str">
            <v>Control</v>
          </cell>
          <cell r="D86" t="str">
            <v>South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P86">
            <v>66.599999999999994</v>
          </cell>
        </row>
        <row r="87">
          <cell r="C87" t="str">
            <v>Control</v>
          </cell>
          <cell r="D87" t="str">
            <v>North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P87">
            <v>50.9</v>
          </cell>
        </row>
        <row r="88">
          <cell r="C88" t="str">
            <v>Control</v>
          </cell>
          <cell r="D88" t="str">
            <v>West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P88">
            <v>51</v>
          </cell>
        </row>
        <row r="89">
          <cell r="C89" t="str">
            <v>Control</v>
          </cell>
          <cell r="D89" t="str">
            <v>South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P89">
            <v>65.8</v>
          </cell>
        </row>
        <row r="90">
          <cell r="C90" t="str">
            <v>Control</v>
          </cell>
          <cell r="D90" t="str">
            <v>North</v>
          </cell>
          <cell r="H90">
            <v>1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P90">
            <v>61.8</v>
          </cell>
        </row>
        <row r="91">
          <cell r="C91" t="str">
            <v>Control</v>
          </cell>
          <cell r="D91" t="str">
            <v>North</v>
          </cell>
          <cell r="H91">
            <v>1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P91">
            <v>54.5</v>
          </cell>
        </row>
        <row r="92">
          <cell r="C92" t="str">
            <v>Control</v>
          </cell>
          <cell r="D92" t="str">
            <v>South</v>
          </cell>
          <cell r="H92">
            <v>1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72.2</v>
          </cell>
        </row>
        <row r="93">
          <cell r="C93" t="str">
            <v>Control</v>
          </cell>
          <cell r="D93" t="str">
            <v>South</v>
          </cell>
          <cell r="H93">
            <v>1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P93">
            <v>42.3</v>
          </cell>
        </row>
        <row r="94">
          <cell r="C94" t="str">
            <v>Control</v>
          </cell>
          <cell r="D94" t="str">
            <v>East</v>
          </cell>
          <cell r="H94">
            <v>1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P94">
            <v>76.2</v>
          </cell>
        </row>
        <row r="95">
          <cell r="C95" t="str">
            <v>Control</v>
          </cell>
          <cell r="D95" t="str">
            <v>South</v>
          </cell>
          <cell r="H95">
            <v>1</v>
          </cell>
          <cell r="I95">
            <v>1</v>
          </cell>
          <cell r="J95">
            <v>1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  <cell r="P95">
            <v>37.4</v>
          </cell>
        </row>
        <row r="96">
          <cell r="C96" t="str">
            <v>Control</v>
          </cell>
          <cell r="D96" t="str">
            <v>East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P96">
            <v>84.2</v>
          </cell>
        </row>
        <row r="97">
          <cell r="C97" t="str">
            <v>Control</v>
          </cell>
          <cell r="D97" t="str">
            <v>East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P97">
            <v>68</v>
          </cell>
        </row>
        <row r="98">
          <cell r="C98" t="str">
            <v>Control</v>
          </cell>
          <cell r="D98" t="str">
            <v>West</v>
          </cell>
          <cell r="H98">
            <v>1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P98">
            <v>53.5</v>
          </cell>
        </row>
        <row r="99">
          <cell r="C99" t="str">
            <v>Control</v>
          </cell>
          <cell r="D99" t="str">
            <v>North</v>
          </cell>
          <cell r="H99">
            <v>1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P99">
            <v>63.2</v>
          </cell>
        </row>
        <row r="100">
          <cell r="C100" t="str">
            <v>Control</v>
          </cell>
          <cell r="D100" t="str">
            <v>East</v>
          </cell>
          <cell r="H100">
            <v>1</v>
          </cell>
          <cell r="I100">
            <v>1</v>
          </cell>
          <cell r="J100">
            <v>1</v>
          </cell>
          <cell r="K100">
            <v>1</v>
          </cell>
          <cell r="L100">
            <v>363.32</v>
          </cell>
          <cell r="M100">
            <v>0</v>
          </cell>
          <cell r="N100">
            <v>0</v>
          </cell>
          <cell r="O100">
            <v>9</v>
          </cell>
          <cell r="P100">
            <v>55.9</v>
          </cell>
        </row>
        <row r="101">
          <cell r="C101" t="str">
            <v>Control</v>
          </cell>
          <cell r="D101" t="str">
            <v>North</v>
          </cell>
          <cell r="H101">
            <v>1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63.5</v>
          </cell>
        </row>
        <row r="102">
          <cell r="C102" t="str">
            <v>Control</v>
          </cell>
          <cell r="D102" t="str">
            <v>North</v>
          </cell>
          <cell r="H102">
            <v>1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P102">
            <v>51.5</v>
          </cell>
        </row>
        <row r="103">
          <cell r="C103" t="str">
            <v>Control</v>
          </cell>
          <cell r="D103" t="str">
            <v>West</v>
          </cell>
          <cell r="H103">
            <v>1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P103">
            <v>74.400000000000006</v>
          </cell>
        </row>
        <row r="104">
          <cell r="C104" t="str">
            <v>Control</v>
          </cell>
          <cell r="D104" t="str">
            <v>North</v>
          </cell>
          <cell r="H104">
            <v>1</v>
          </cell>
          <cell r="I104">
            <v>1</v>
          </cell>
          <cell r="J104">
            <v>1</v>
          </cell>
          <cell r="K104">
            <v>1</v>
          </cell>
          <cell r="L104">
            <v>3887.98</v>
          </cell>
          <cell r="M104">
            <v>0</v>
          </cell>
          <cell r="N104">
            <v>0</v>
          </cell>
          <cell r="O104">
            <v>13</v>
          </cell>
          <cell r="P104">
            <v>60.2</v>
          </cell>
        </row>
        <row r="105">
          <cell r="C105" t="str">
            <v>Control</v>
          </cell>
          <cell r="D105" t="str">
            <v>South</v>
          </cell>
          <cell r="H105">
            <v>1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1</v>
          </cell>
          <cell r="N105">
            <v>0</v>
          </cell>
          <cell r="P105">
            <v>67.2</v>
          </cell>
        </row>
        <row r="106">
          <cell r="C106" t="str">
            <v>Control</v>
          </cell>
          <cell r="D106" t="str">
            <v>South</v>
          </cell>
          <cell r="H106">
            <v>1</v>
          </cell>
          <cell r="I106">
            <v>1</v>
          </cell>
          <cell r="J106">
            <v>1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P106">
            <v>79.599999999999994</v>
          </cell>
        </row>
        <row r="107">
          <cell r="C107" t="str">
            <v>Control</v>
          </cell>
          <cell r="D107" t="str">
            <v>South</v>
          </cell>
          <cell r="H107">
            <v>1</v>
          </cell>
          <cell r="I107">
            <v>1</v>
          </cell>
          <cell r="J107">
            <v>1</v>
          </cell>
          <cell r="K107">
            <v>1</v>
          </cell>
          <cell r="L107">
            <v>8610.7199999999993</v>
          </cell>
          <cell r="M107">
            <v>0</v>
          </cell>
          <cell r="N107">
            <v>0</v>
          </cell>
          <cell r="O107">
            <v>6</v>
          </cell>
          <cell r="P107">
            <v>61</v>
          </cell>
        </row>
        <row r="108">
          <cell r="C108" t="str">
            <v>Control</v>
          </cell>
          <cell r="D108" t="str">
            <v>West</v>
          </cell>
          <cell r="H108">
            <v>1</v>
          </cell>
          <cell r="I108">
            <v>1</v>
          </cell>
          <cell r="J108">
            <v>1</v>
          </cell>
          <cell r="K108">
            <v>0</v>
          </cell>
          <cell r="L108">
            <v>0</v>
          </cell>
          <cell r="M108">
            <v>4</v>
          </cell>
          <cell r="N108">
            <v>0</v>
          </cell>
          <cell r="P108">
            <v>51.1</v>
          </cell>
        </row>
        <row r="109">
          <cell r="C109" t="str">
            <v>Control</v>
          </cell>
          <cell r="D109" t="str">
            <v>East</v>
          </cell>
          <cell r="H109">
            <v>1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P109">
            <v>92.1</v>
          </cell>
        </row>
        <row r="110">
          <cell r="C110" t="str">
            <v>Control</v>
          </cell>
          <cell r="D110" t="str">
            <v>South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P110">
            <v>82.1</v>
          </cell>
        </row>
        <row r="111">
          <cell r="C111" t="str">
            <v>Control</v>
          </cell>
          <cell r="D111" t="str">
            <v>West</v>
          </cell>
          <cell r="H111">
            <v>1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1</v>
          </cell>
          <cell r="N111">
            <v>0</v>
          </cell>
          <cell r="P111">
            <v>74</v>
          </cell>
        </row>
        <row r="112">
          <cell r="C112" t="str">
            <v>Control</v>
          </cell>
          <cell r="D112" t="str">
            <v>West</v>
          </cell>
          <cell r="H112">
            <v>1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P112">
            <v>63.4</v>
          </cell>
        </row>
        <row r="113">
          <cell r="C113" t="str">
            <v>Control</v>
          </cell>
          <cell r="D113" t="str">
            <v>North</v>
          </cell>
          <cell r="H113">
            <v>1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P113">
            <v>53.2</v>
          </cell>
        </row>
        <row r="114">
          <cell r="C114" t="str">
            <v>Control</v>
          </cell>
          <cell r="D114" t="str">
            <v>East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P114">
            <v>48.1</v>
          </cell>
        </row>
        <row r="115">
          <cell r="C115" t="str">
            <v>Control</v>
          </cell>
          <cell r="D115" t="str">
            <v>South</v>
          </cell>
          <cell r="H115">
            <v>1</v>
          </cell>
          <cell r="I115">
            <v>1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P115">
            <v>61.5</v>
          </cell>
        </row>
        <row r="116">
          <cell r="C116" t="str">
            <v>Control</v>
          </cell>
          <cell r="D116" t="str">
            <v>East</v>
          </cell>
          <cell r="H116">
            <v>1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P116">
            <v>63.2</v>
          </cell>
        </row>
        <row r="117">
          <cell r="C117" t="str">
            <v>Control</v>
          </cell>
          <cell r="D117" t="str">
            <v>West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P117">
            <v>71.900000000000006</v>
          </cell>
        </row>
        <row r="118">
          <cell r="C118" t="str">
            <v>Control</v>
          </cell>
          <cell r="D118" t="str">
            <v>North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P118">
            <v>62.7</v>
          </cell>
        </row>
        <row r="119">
          <cell r="C119" t="str">
            <v>Control</v>
          </cell>
          <cell r="D119" t="str">
            <v>West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P119">
            <v>51.5</v>
          </cell>
        </row>
        <row r="120">
          <cell r="C120" t="str">
            <v>Control</v>
          </cell>
          <cell r="D120" t="str">
            <v>East</v>
          </cell>
          <cell r="H120">
            <v>1</v>
          </cell>
          <cell r="I120">
            <v>1</v>
          </cell>
          <cell r="J120">
            <v>1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P120">
            <v>39.1</v>
          </cell>
        </row>
        <row r="121">
          <cell r="C121" t="str">
            <v>Control</v>
          </cell>
          <cell r="D121" t="str">
            <v>North</v>
          </cell>
          <cell r="H121">
            <v>1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P121">
            <v>43.8</v>
          </cell>
        </row>
        <row r="122">
          <cell r="C122" t="str">
            <v>Control</v>
          </cell>
          <cell r="D122" t="str">
            <v>North</v>
          </cell>
          <cell r="H122">
            <v>1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P122">
            <v>59.9</v>
          </cell>
        </row>
        <row r="123">
          <cell r="C123" t="str">
            <v>Control</v>
          </cell>
          <cell r="D123" t="str">
            <v>North</v>
          </cell>
          <cell r="H123">
            <v>1</v>
          </cell>
          <cell r="I123">
            <v>1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P123">
            <v>71.400000000000006</v>
          </cell>
        </row>
        <row r="124">
          <cell r="C124" t="str">
            <v>Control</v>
          </cell>
          <cell r="D124" t="str">
            <v>South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P124">
            <v>36.1</v>
          </cell>
        </row>
        <row r="125">
          <cell r="C125" t="str">
            <v>Control</v>
          </cell>
          <cell r="D125" t="str">
            <v>West</v>
          </cell>
          <cell r="H125">
            <v>1</v>
          </cell>
          <cell r="I125">
            <v>1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P125">
            <v>47.9</v>
          </cell>
        </row>
        <row r="126">
          <cell r="C126" t="str">
            <v>Control</v>
          </cell>
          <cell r="D126" t="str">
            <v>West</v>
          </cell>
          <cell r="H126">
            <v>1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P126">
            <v>62.5</v>
          </cell>
        </row>
        <row r="127">
          <cell r="C127" t="str">
            <v>Control</v>
          </cell>
          <cell r="D127" t="str">
            <v>South</v>
          </cell>
          <cell r="H127">
            <v>1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P127">
            <v>56.9</v>
          </cell>
        </row>
        <row r="128">
          <cell r="C128" t="str">
            <v>Control</v>
          </cell>
          <cell r="D128" t="str">
            <v>North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P128">
            <v>64.7</v>
          </cell>
        </row>
        <row r="129">
          <cell r="C129" t="str">
            <v>Control</v>
          </cell>
          <cell r="D129" t="str">
            <v>South</v>
          </cell>
          <cell r="H129">
            <v>1</v>
          </cell>
          <cell r="I129">
            <v>1</v>
          </cell>
          <cell r="J129">
            <v>1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P129">
            <v>64</v>
          </cell>
        </row>
        <row r="130">
          <cell r="C130" t="str">
            <v>Control</v>
          </cell>
          <cell r="D130" t="str">
            <v>East</v>
          </cell>
          <cell r="H130">
            <v>1</v>
          </cell>
          <cell r="I130">
            <v>1</v>
          </cell>
          <cell r="J130">
            <v>1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P130">
            <v>75.2</v>
          </cell>
        </row>
        <row r="131">
          <cell r="C131" t="str">
            <v>Control</v>
          </cell>
          <cell r="D131" t="str">
            <v>North</v>
          </cell>
          <cell r="H131">
            <v>1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1</v>
          </cell>
          <cell r="N131">
            <v>0</v>
          </cell>
          <cell r="P131">
            <v>79</v>
          </cell>
        </row>
        <row r="132">
          <cell r="C132" t="str">
            <v>Control</v>
          </cell>
          <cell r="D132" t="str">
            <v>South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P132">
            <v>33</v>
          </cell>
        </row>
        <row r="133">
          <cell r="C133" t="str">
            <v>Control</v>
          </cell>
          <cell r="D133" t="str">
            <v>East</v>
          </cell>
          <cell r="H133">
            <v>1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P133">
            <v>67.900000000000006</v>
          </cell>
        </row>
        <row r="134">
          <cell r="C134" t="str">
            <v>Control</v>
          </cell>
          <cell r="D134" t="str">
            <v>South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P134">
            <v>42.2</v>
          </cell>
        </row>
        <row r="135">
          <cell r="C135" t="str">
            <v>Control</v>
          </cell>
          <cell r="D135" t="str">
            <v>West</v>
          </cell>
          <cell r="H135">
            <v>1</v>
          </cell>
          <cell r="I135">
            <v>1</v>
          </cell>
          <cell r="J135">
            <v>1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P135">
            <v>43.4</v>
          </cell>
        </row>
        <row r="136">
          <cell r="C136" t="str">
            <v>Control</v>
          </cell>
          <cell r="D136" t="str">
            <v>North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P136">
            <v>54.4</v>
          </cell>
        </row>
        <row r="137">
          <cell r="C137" t="str">
            <v>Control</v>
          </cell>
          <cell r="D137" t="str">
            <v>South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P137">
            <v>45.7</v>
          </cell>
        </row>
        <row r="138">
          <cell r="C138" t="str">
            <v>Control</v>
          </cell>
          <cell r="D138" t="str">
            <v>North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3</v>
          </cell>
          <cell r="N138">
            <v>0</v>
          </cell>
          <cell r="P138">
            <v>32</v>
          </cell>
        </row>
        <row r="139">
          <cell r="C139" t="str">
            <v>Control</v>
          </cell>
          <cell r="D139" t="str">
            <v>South</v>
          </cell>
          <cell r="H139">
            <v>1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P139">
            <v>70.900000000000006</v>
          </cell>
        </row>
        <row r="140">
          <cell r="C140" t="str">
            <v>Control</v>
          </cell>
          <cell r="D140" t="str">
            <v>West</v>
          </cell>
          <cell r="H140">
            <v>1</v>
          </cell>
          <cell r="I140">
            <v>1</v>
          </cell>
          <cell r="J140">
            <v>1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P140">
            <v>59.1</v>
          </cell>
        </row>
        <row r="141">
          <cell r="C141" t="str">
            <v>Control</v>
          </cell>
          <cell r="D141" t="str">
            <v>North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P141">
            <v>62.4</v>
          </cell>
        </row>
        <row r="142">
          <cell r="C142" t="str">
            <v>Control</v>
          </cell>
          <cell r="D142" t="str">
            <v>South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P142">
            <v>49.6</v>
          </cell>
        </row>
        <row r="143">
          <cell r="C143" t="str">
            <v>Control</v>
          </cell>
          <cell r="D143" t="str">
            <v>West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  <cell r="L143">
            <v>404.4</v>
          </cell>
          <cell r="M143">
            <v>0</v>
          </cell>
          <cell r="N143">
            <v>0</v>
          </cell>
          <cell r="O143">
            <v>9</v>
          </cell>
          <cell r="P143">
            <v>80.599999999999994</v>
          </cell>
        </row>
        <row r="144">
          <cell r="C144" t="str">
            <v>Control</v>
          </cell>
          <cell r="D144" t="str">
            <v>North</v>
          </cell>
          <cell r="H144">
            <v>1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P144">
            <v>47.9</v>
          </cell>
        </row>
        <row r="145">
          <cell r="C145" t="str">
            <v>Control</v>
          </cell>
          <cell r="D145" t="str">
            <v>East</v>
          </cell>
          <cell r="H145">
            <v>1</v>
          </cell>
          <cell r="I145">
            <v>1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P145">
            <v>54.8</v>
          </cell>
        </row>
        <row r="146">
          <cell r="C146" t="str">
            <v>Control</v>
          </cell>
          <cell r="D146" t="str">
            <v>East</v>
          </cell>
          <cell r="H146">
            <v>1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1</v>
          </cell>
          <cell r="N146">
            <v>0</v>
          </cell>
          <cell r="P146">
            <v>53.9</v>
          </cell>
        </row>
        <row r="147">
          <cell r="C147" t="str">
            <v>Control</v>
          </cell>
          <cell r="D147" t="str">
            <v>East</v>
          </cell>
          <cell r="H147">
            <v>1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P147">
            <v>41.3</v>
          </cell>
        </row>
        <row r="148">
          <cell r="C148" t="str">
            <v>Control</v>
          </cell>
          <cell r="D148" t="str">
            <v>West</v>
          </cell>
          <cell r="H148">
            <v>1</v>
          </cell>
          <cell r="I148">
            <v>1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P148">
            <v>38.9</v>
          </cell>
        </row>
        <row r="149">
          <cell r="C149" t="str">
            <v>Control</v>
          </cell>
          <cell r="D149" t="str">
            <v>South</v>
          </cell>
          <cell r="H149">
            <v>1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P149">
            <v>63.6</v>
          </cell>
        </row>
        <row r="150">
          <cell r="C150" t="str">
            <v>Control</v>
          </cell>
          <cell r="D150" t="str">
            <v>North</v>
          </cell>
          <cell r="H150">
            <v>1</v>
          </cell>
          <cell r="I150">
            <v>1</v>
          </cell>
          <cell r="J150">
            <v>1</v>
          </cell>
          <cell r="K150">
            <v>1</v>
          </cell>
          <cell r="L150">
            <v>577.94000000000005</v>
          </cell>
          <cell r="M150">
            <v>0</v>
          </cell>
          <cell r="N150">
            <v>0</v>
          </cell>
          <cell r="O150">
            <v>9</v>
          </cell>
          <cell r="P150">
            <v>76.599999999999994</v>
          </cell>
        </row>
        <row r="151">
          <cell r="C151" t="str">
            <v>Control</v>
          </cell>
          <cell r="D151" t="str">
            <v>West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1</v>
          </cell>
          <cell r="N151">
            <v>0</v>
          </cell>
          <cell r="P151">
            <v>67.599999999999994</v>
          </cell>
        </row>
        <row r="152">
          <cell r="C152" t="str">
            <v>Control</v>
          </cell>
          <cell r="D152" t="str">
            <v>North</v>
          </cell>
          <cell r="H152">
            <v>1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P152">
            <v>43.1</v>
          </cell>
        </row>
        <row r="153">
          <cell r="C153" t="str">
            <v>Control</v>
          </cell>
          <cell r="D153" t="str">
            <v>South</v>
          </cell>
          <cell r="H153">
            <v>1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P153">
            <v>58.3</v>
          </cell>
        </row>
        <row r="154">
          <cell r="C154" t="str">
            <v>Control</v>
          </cell>
          <cell r="D154" t="str">
            <v>East</v>
          </cell>
          <cell r="H154">
            <v>1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P154">
            <v>69.8</v>
          </cell>
        </row>
        <row r="155">
          <cell r="C155" t="str">
            <v>Control</v>
          </cell>
          <cell r="D155" t="str">
            <v>South</v>
          </cell>
          <cell r="H155">
            <v>1</v>
          </cell>
          <cell r="I155">
            <v>1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</row>
        <row r="156">
          <cell r="C156" t="str">
            <v>Control</v>
          </cell>
          <cell r="D156" t="str">
            <v>West</v>
          </cell>
          <cell r="H156">
            <v>1</v>
          </cell>
          <cell r="I156">
            <v>1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P156">
            <v>41.9</v>
          </cell>
        </row>
        <row r="157">
          <cell r="C157" t="str">
            <v>Control</v>
          </cell>
          <cell r="D157" t="str">
            <v>North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P157">
            <v>33.1</v>
          </cell>
        </row>
        <row r="158">
          <cell r="C158" t="str">
            <v>Control</v>
          </cell>
          <cell r="D158" t="str">
            <v>West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P158">
            <v>58.6</v>
          </cell>
        </row>
        <row r="159">
          <cell r="C159" t="str">
            <v>Control</v>
          </cell>
          <cell r="D159" t="str">
            <v>North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P159">
            <v>55.7</v>
          </cell>
        </row>
        <row r="160">
          <cell r="C160" t="str">
            <v>Control</v>
          </cell>
          <cell r="D160" t="str">
            <v>East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2</v>
          </cell>
          <cell r="N160">
            <v>0</v>
          </cell>
          <cell r="P160">
            <v>64.900000000000006</v>
          </cell>
        </row>
        <row r="161">
          <cell r="C161" t="str">
            <v>Control</v>
          </cell>
          <cell r="D161" t="str">
            <v>North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P161">
            <v>72.3</v>
          </cell>
        </row>
        <row r="162">
          <cell r="C162" t="str">
            <v>Control</v>
          </cell>
          <cell r="D162" t="str">
            <v>North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P162">
            <v>42.1</v>
          </cell>
        </row>
        <row r="163">
          <cell r="C163" t="str">
            <v>Control</v>
          </cell>
          <cell r="D163" t="str">
            <v>North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</row>
        <row r="164">
          <cell r="C164" t="str">
            <v>Control</v>
          </cell>
          <cell r="D164" t="str">
            <v>South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1</v>
          </cell>
          <cell r="N164">
            <v>0</v>
          </cell>
          <cell r="P164">
            <v>64.8</v>
          </cell>
        </row>
        <row r="165">
          <cell r="C165" t="str">
            <v>Control</v>
          </cell>
          <cell r="D165" t="str">
            <v>East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P165">
            <v>72.099999999999994</v>
          </cell>
        </row>
        <row r="166">
          <cell r="C166" t="str">
            <v>Control</v>
          </cell>
          <cell r="D166" t="str">
            <v>East</v>
          </cell>
          <cell r="H166">
            <v>1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P166">
            <v>50.6</v>
          </cell>
        </row>
        <row r="167">
          <cell r="C167" t="str">
            <v>Control</v>
          </cell>
          <cell r="D167" t="str">
            <v>North</v>
          </cell>
          <cell r="H167">
            <v>1</v>
          </cell>
          <cell r="I167">
            <v>1</v>
          </cell>
          <cell r="J167">
            <v>1</v>
          </cell>
          <cell r="K167">
            <v>1</v>
          </cell>
          <cell r="L167">
            <v>1281.25</v>
          </cell>
          <cell r="M167">
            <v>1</v>
          </cell>
          <cell r="N167">
            <v>0</v>
          </cell>
          <cell r="O167">
            <v>9</v>
          </cell>
          <cell r="P167">
            <v>43.4</v>
          </cell>
        </row>
        <row r="168">
          <cell r="C168" t="str">
            <v>Control</v>
          </cell>
          <cell r="D168" t="str">
            <v>South</v>
          </cell>
          <cell r="H168">
            <v>1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P168">
            <v>59.7</v>
          </cell>
        </row>
        <row r="169">
          <cell r="C169" t="str">
            <v>Control</v>
          </cell>
          <cell r="D169" t="str">
            <v>South</v>
          </cell>
          <cell r="H169">
            <v>1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1</v>
          </cell>
          <cell r="N169">
            <v>0</v>
          </cell>
        </row>
        <row r="170">
          <cell r="C170" t="str">
            <v>Control</v>
          </cell>
          <cell r="D170" t="str">
            <v>West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P170">
            <v>54.5</v>
          </cell>
        </row>
        <row r="171">
          <cell r="C171" t="str">
            <v>Control</v>
          </cell>
          <cell r="D171" t="str">
            <v>North</v>
          </cell>
          <cell r="H171">
            <v>1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P171">
            <v>71.099999999999994</v>
          </cell>
        </row>
        <row r="172">
          <cell r="C172" t="str">
            <v>Control</v>
          </cell>
          <cell r="D172" t="str">
            <v>East</v>
          </cell>
          <cell r="H172">
            <v>1</v>
          </cell>
          <cell r="I172">
            <v>1</v>
          </cell>
          <cell r="J172">
            <v>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P172">
            <v>44.4</v>
          </cell>
        </row>
        <row r="173">
          <cell r="C173" t="str">
            <v>Control</v>
          </cell>
          <cell r="D173" t="str">
            <v>North</v>
          </cell>
          <cell r="H173">
            <v>1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P173">
            <v>61.7</v>
          </cell>
        </row>
        <row r="174">
          <cell r="C174" t="str">
            <v>Control</v>
          </cell>
          <cell r="D174" t="str">
            <v>North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1</v>
          </cell>
          <cell r="N174">
            <v>0</v>
          </cell>
          <cell r="P174">
            <v>81.3</v>
          </cell>
        </row>
        <row r="175">
          <cell r="C175" t="str">
            <v>Control</v>
          </cell>
          <cell r="D175" t="str">
            <v>North</v>
          </cell>
          <cell r="H175">
            <v>1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2</v>
          </cell>
          <cell r="N175">
            <v>0</v>
          </cell>
          <cell r="P175">
            <v>28.7</v>
          </cell>
        </row>
        <row r="176">
          <cell r="C176" t="str">
            <v>Control</v>
          </cell>
          <cell r="D176" t="str">
            <v>East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P176">
            <v>53</v>
          </cell>
        </row>
        <row r="177">
          <cell r="C177" t="str">
            <v>Control</v>
          </cell>
          <cell r="D177" t="str">
            <v>South</v>
          </cell>
          <cell r="H177">
            <v>1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P177">
            <v>54.9</v>
          </cell>
        </row>
        <row r="178">
          <cell r="C178" t="str">
            <v>Control</v>
          </cell>
          <cell r="D178" t="str">
            <v>West</v>
          </cell>
          <cell r="H178">
            <v>1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P178">
            <v>58.2</v>
          </cell>
        </row>
        <row r="179">
          <cell r="C179" t="str">
            <v>Control</v>
          </cell>
          <cell r="D179" t="str">
            <v>North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P179">
            <v>80.599999999999994</v>
          </cell>
        </row>
        <row r="180">
          <cell r="C180" t="str">
            <v>Control</v>
          </cell>
          <cell r="D180" t="str">
            <v>North</v>
          </cell>
          <cell r="H180">
            <v>1</v>
          </cell>
          <cell r="I180">
            <v>1</v>
          </cell>
          <cell r="J180">
            <v>1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P180">
            <v>38.4</v>
          </cell>
        </row>
        <row r="181">
          <cell r="C181" t="str">
            <v>Control</v>
          </cell>
          <cell r="D181" t="str">
            <v>South</v>
          </cell>
          <cell r="H181">
            <v>1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P181">
            <v>56.1</v>
          </cell>
        </row>
        <row r="182">
          <cell r="C182" t="str">
            <v>Control</v>
          </cell>
          <cell r="D182" t="str">
            <v>West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P182">
            <v>62.6</v>
          </cell>
        </row>
        <row r="183">
          <cell r="C183" t="str">
            <v>Control</v>
          </cell>
          <cell r="D183" t="str">
            <v>South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P183">
            <v>36.299999999999997</v>
          </cell>
        </row>
        <row r="184">
          <cell r="C184" t="str">
            <v>Control</v>
          </cell>
          <cell r="D184" t="str">
            <v>South</v>
          </cell>
          <cell r="H184">
            <v>1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P184">
            <v>52.1</v>
          </cell>
        </row>
        <row r="185">
          <cell r="C185" t="str">
            <v>Control</v>
          </cell>
          <cell r="D185" t="str">
            <v>South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P185">
            <v>45.1</v>
          </cell>
        </row>
        <row r="186">
          <cell r="C186" t="str">
            <v>Control</v>
          </cell>
          <cell r="D186" t="str">
            <v>South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P186">
            <v>67.5</v>
          </cell>
        </row>
        <row r="187">
          <cell r="C187" t="str">
            <v>Control</v>
          </cell>
          <cell r="D187" t="str">
            <v>East</v>
          </cell>
          <cell r="H187">
            <v>1</v>
          </cell>
          <cell r="I187">
            <v>1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P187">
            <v>80</v>
          </cell>
        </row>
        <row r="188">
          <cell r="C188" t="str">
            <v>Control</v>
          </cell>
          <cell r="D188" t="str">
            <v>East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P188">
            <v>56.4</v>
          </cell>
        </row>
        <row r="189">
          <cell r="C189" t="str">
            <v>Control</v>
          </cell>
          <cell r="D189" t="str">
            <v>West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P189">
            <v>55.4</v>
          </cell>
        </row>
        <row r="190">
          <cell r="C190" t="str">
            <v>Control</v>
          </cell>
          <cell r="D190" t="str">
            <v>South</v>
          </cell>
          <cell r="H190">
            <v>1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P190">
            <v>67.900000000000006</v>
          </cell>
        </row>
        <row r="191">
          <cell r="C191" t="str">
            <v>Control</v>
          </cell>
          <cell r="D191" t="str">
            <v>North</v>
          </cell>
          <cell r="H191">
            <v>1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P191">
            <v>62.5</v>
          </cell>
        </row>
        <row r="192">
          <cell r="C192" t="str">
            <v>Control</v>
          </cell>
          <cell r="D192" t="str">
            <v>South</v>
          </cell>
          <cell r="H192">
            <v>1</v>
          </cell>
          <cell r="I192">
            <v>1</v>
          </cell>
          <cell r="J192">
            <v>1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P192">
            <v>54.3</v>
          </cell>
        </row>
        <row r="193">
          <cell r="C193" t="str">
            <v>Control</v>
          </cell>
          <cell r="D193" t="str">
            <v>South</v>
          </cell>
          <cell r="H193">
            <v>1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P193">
            <v>37.5</v>
          </cell>
        </row>
        <row r="194">
          <cell r="C194" t="str">
            <v>Control</v>
          </cell>
          <cell r="D194" t="str">
            <v>West</v>
          </cell>
          <cell r="H194">
            <v>1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P194">
            <v>52.6</v>
          </cell>
        </row>
        <row r="195">
          <cell r="C195" t="str">
            <v>Control</v>
          </cell>
          <cell r="D195" t="str">
            <v>North</v>
          </cell>
          <cell r="H195">
            <v>1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P195">
            <v>46.1</v>
          </cell>
        </row>
        <row r="196">
          <cell r="C196" t="str">
            <v>Control</v>
          </cell>
          <cell r="D196" t="str">
            <v>South</v>
          </cell>
          <cell r="H196">
            <v>1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P196">
            <v>54.7</v>
          </cell>
        </row>
        <row r="197">
          <cell r="C197" t="str">
            <v>Control</v>
          </cell>
          <cell r="D197" t="str">
            <v>West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P197">
            <v>74.2</v>
          </cell>
        </row>
        <row r="198">
          <cell r="C198" t="str">
            <v>Control</v>
          </cell>
          <cell r="D198" t="str">
            <v>North</v>
          </cell>
          <cell r="H198">
            <v>1</v>
          </cell>
          <cell r="I198">
            <v>1</v>
          </cell>
          <cell r="J198">
            <v>1</v>
          </cell>
          <cell r="K198">
            <v>1</v>
          </cell>
          <cell r="L198">
            <v>1052.8</v>
          </cell>
          <cell r="M198">
            <v>2</v>
          </cell>
          <cell r="N198">
            <v>0</v>
          </cell>
          <cell r="O198">
            <v>6</v>
          </cell>
          <cell r="P198">
            <v>64.7</v>
          </cell>
        </row>
        <row r="199">
          <cell r="C199" t="str">
            <v>Control</v>
          </cell>
          <cell r="D199" t="str">
            <v>South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P199">
            <v>65.900000000000006</v>
          </cell>
        </row>
        <row r="200">
          <cell r="C200" t="str">
            <v>Control</v>
          </cell>
          <cell r="D200" t="str">
            <v>North</v>
          </cell>
          <cell r="H200">
            <v>1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P200">
            <v>64</v>
          </cell>
        </row>
        <row r="201">
          <cell r="C201" t="str">
            <v>Control</v>
          </cell>
          <cell r="D201" t="str">
            <v>North</v>
          </cell>
          <cell r="H201">
            <v>1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P201">
            <v>57.2</v>
          </cell>
        </row>
        <row r="202">
          <cell r="C202" t="str">
            <v>Control</v>
          </cell>
          <cell r="D202" t="str">
            <v>West</v>
          </cell>
          <cell r="H202">
            <v>1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P202">
            <v>80.5</v>
          </cell>
        </row>
        <row r="203">
          <cell r="C203" t="str">
            <v>Control</v>
          </cell>
          <cell r="D203" t="str">
            <v>South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P203">
            <v>53.9</v>
          </cell>
        </row>
        <row r="204">
          <cell r="C204" t="str">
            <v>Control</v>
          </cell>
          <cell r="D204" t="str">
            <v>North</v>
          </cell>
          <cell r="H204">
            <v>1</v>
          </cell>
          <cell r="I204">
            <v>1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P204">
            <v>77.5</v>
          </cell>
        </row>
        <row r="205">
          <cell r="C205" t="str">
            <v>Control</v>
          </cell>
          <cell r="D205" t="str">
            <v>East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P205">
            <v>84.2</v>
          </cell>
        </row>
        <row r="206">
          <cell r="C206" t="str">
            <v>Control</v>
          </cell>
          <cell r="D206" t="str">
            <v>West</v>
          </cell>
          <cell r="H206">
            <v>1</v>
          </cell>
          <cell r="I206">
            <v>1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P206">
            <v>54.9</v>
          </cell>
        </row>
        <row r="207">
          <cell r="C207" t="str">
            <v>Control</v>
          </cell>
          <cell r="D207" t="str">
            <v>South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P207">
            <v>69.3</v>
          </cell>
        </row>
        <row r="208">
          <cell r="C208" t="str">
            <v>Control</v>
          </cell>
          <cell r="D208" t="str">
            <v>South</v>
          </cell>
          <cell r="H208">
            <v>1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2</v>
          </cell>
          <cell r="N208">
            <v>0</v>
          </cell>
          <cell r="P208">
            <v>42.3</v>
          </cell>
        </row>
        <row r="209">
          <cell r="C209" t="str">
            <v>Control</v>
          </cell>
          <cell r="D209" t="str">
            <v>North</v>
          </cell>
          <cell r="H209">
            <v>1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1</v>
          </cell>
          <cell r="N209">
            <v>0</v>
          </cell>
          <cell r="P209">
            <v>69.599999999999994</v>
          </cell>
        </row>
        <row r="210">
          <cell r="C210" t="str">
            <v>Control</v>
          </cell>
          <cell r="D210" t="str">
            <v>East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P210">
            <v>40.700000000000003</v>
          </cell>
        </row>
        <row r="211">
          <cell r="C211" t="str">
            <v>Control</v>
          </cell>
          <cell r="D211" t="str">
            <v>North</v>
          </cell>
          <cell r="H211">
            <v>1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P211">
            <v>54</v>
          </cell>
        </row>
        <row r="212">
          <cell r="C212" t="str">
            <v>Control</v>
          </cell>
          <cell r="D212" t="str">
            <v>East</v>
          </cell>
          <cell r="H212">
            <v>1</v>
          </cell>
          <cell r="I212">
            <v>1</v>
          </cell>
          <cell r="J212">
            <v>1</v>
          </cell>
          <cell r="K212">
            <v>1</v>
          </cell>
          <cell r="L212">
            <v>553.37</v>
          </cell>
          <cell r="M212">
            <v>0</v>
          </cell>
          <cell r="N212">
            <v>0</v>
          </cell>
          <cell r="O212">
            <v>5</v>
          </cell>
          <cell r="P212">
            <v>46.3</v>
          </cell>
        </row>
        <row r="213">
          <cell r="C213" t="str">
            <v>Control</v>
          </cell>
          <cell r="D213" t="str">
            <v>East</v>
          </cell>
          <cell r="H213">
            <v>1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P213">
            <v>64.2</v>
          </cell>
        </row>
        <row r="214">
          <cell r="C214" t="str">
            <v>Control</v>
          </cell>
          <cell r="D214" t="str">
            <v>North</v>
          </cell>
          <cell r="H214">
            <v>1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P214">
            <v>75.2</v>
          </cell>
        </row>
        <row r="215">
          <cell r="C215" t="str">
            <v>Control</v>
          </cell>
          <cell r="D215" t="str">
            <v>East</v>
          </cell>
          <cell r="H215">
            <v>1</v>
          </cell>
          <cell r="I215">
            <v>1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P215">
            <v>60.9</v>
          </cell>
        </row>
        <row r="216">
          <cell r="C216" t="str">
            <v>Control</v>
          </cell>
          <cell r="D216" t="str">
            <v>South</v>
          </cell>
          <cell r="H216">
            <v>1</v>
          </cell>
          <cell r="I216">
            <v>1</v>
          </cell>
          <cell r="J216">
            <v>1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P216">
            <v>62.1</v>
          </cell>
        </row>
        <row r="217">
          <cell r="C217" t="str">
            <v>Control</v>
          </cell>
          <cell r="D217" t="str">
            <v>South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P217">
            <v>45.4</v>
          </cell>
        </row>
        <row r="218">
          <cell r="C218" t="str">
            <v>Control</v>
          </cell>
          <cell r="D218" t="str">
            <v>North</v>
          </cell>
          <cell r="H218">
            <v>1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P218">
            <v>53.3</v>
          </cell>
        </row>
        <row r="219">
          <cell r="C219" t="str">
            <v>Control</v>
          </cell>
          <cell r="D219" t="str">
            <v>North</v>
          </cell>
          <cell r="H219">
            <v>1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</row>
        <row r="220">
          <cell r="C220" t="str">
            <v>Control</v>
          </cell>
          <cell r="D220" t="str">
            <v>East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1</v>
          </cell>
          <cell r="N220">
            <v>0</v>
          </cell>
          <cell r="P220">
            <v>38.200000000000003</v>
          </cell>
        </row>
        <row r="221">
          <cell r="C221" t="str">
            <v>Control</v>
          </cell>
          <cell r="D221" t="str">
            <v>West</v>
          </cell>
          <cell r="H221">
            <v>1</v>
          </cell>
          <cell r="I221">
            <v>1</v>
          </cell>
          <cell r="J221">
            <v>0</v>
          </cell>
          <cell r="K221">
            <v>0</v>
          </cell>
          <cell r="L221">
            <v>0</v>
          </cell>
          <cell r="M221">
            <v>3</v>
          </cell>
          <cell r="N221">
            <v>0</v>
          </cell>
          <cell r="P221">
            <v>59</v>
          </cell>
        </row>
        <row r="222">
          <cell r="C222" t="str">
            <v>Control</v>
          </cell>
          <cell r="D222" t="str">
            <v>East</v>
          </cell>
          <cell r="H222">
            <v>1</v>
          </cell>
          <cell r="I222">
            <v>1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P222">
            <v>80.599999999999994</v>
          </cell>
        </row>
        <row r="223">
          <cell r="C223" t="str">
            <v>Control</v>
          </cell>
          <cell r="D223" t="str">
            <v>South</v>
          </cell>
          <cell r="H223">
            <v>1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P223">
            <v>67</v>
          </cell>
        </row>
        <row r="224">
          <cell r="C224" t="str">
            <v>Control</v>
          </cell>
          <cell r="D224" t="str">
            <v>West</v>
          </cell>
          <cell r="H224">
            <v>1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1</v>
          </cell>
          <cell r="N224">
            <v>0</v>
          </cell>
          <cell r="P224">
            <v>72.099999999999994</v>
          </cell>
        </row>
        <row r="225">
          <cell r="C225" t="str">
            <v>Control</v>
          </cell>
          <cell r="D225" t="str">
            <v>West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P225">
            <v>74.099999999999994</v>
          </cell>
        </row>
        <row r="226">
          <cell r="C226" t="str">
            <v>Control</v>
          </cell>
          <cell r="D226" t="str">
            <v>South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P226">
            <v>84.8</v>
          </cell>
        </row>
        <row r="227">
          <cell r="C227" t="str">
            <v>Control</v>
          </cell>
          <cell r="D227" t="str">
            <v>South</v>
          </cell>
          <cell r="H227">
            <v>1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P227">
            <v>33</v>
          </cell>
        </row>
        <row r="228">
          <cell r="C228" t="str">
            <v>Control</v>
          </cell>
          <cell r="D228" t="str">
            <v>North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P228">
            <v>52.5</v>
          </cell>
        </row>
        <row r="229">
          <cell r="C229" t="str">
            <v>Control</v>
          </cell>
          <cell r="D229" t="str">
            <v>North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P229">
            <v>66.900000000000006</v>
          </cell>
        </row>
        <row r="230">
          <cell r="C230" t="str">
            <v>Control</v>
          </cell>
          <cell r="D230" t="str">
            <v>North</v>
          </cell>
          <cell r="H230">
            <v>1</v>
          </cell>
          <cell r="I230">
            <v>1</v>
          </cell>
          <cell r="J230">
            <v>1</v>
          </cell>
          <cell r="K230">
            <v>0</v>
          </cell>
          <cell r="L230">
            <v>0</v>
          </cell>
          <cell r="M230">
            <v>1</v>
          </cell>
          <cell r="N230">
            <v>0</v>
          </cell>
          <cell r="P230">
            <v>32.700000000000003</v>
          </cell>
        </row>
        <row r="231">
          <cell r="C231" t="str">
            <v>Control</v>
          </cell>
          <cell r="D231" t="str">
            <v>West</v>
          </cell>
          <cell r="H231">
            <v>1</v>
          </cell>
          <cell r="I231">
            <v>1</v>
          </cell>
          <cell r="J231">
            <v>1</v>
          </cell>
          <cell r="K231">
            <v>0</v>
          </cell>
          <cell r="L231">
            <v>0</v>
          </cell>
          <cell r="M231">
            <v>1</v>
          </cell>
          <cell r="N231">
            <v>0</v>
          </cell>
          <cell r="P231">
            <v>70.599999999999994</v>
          </cell>
        </row>
        <row r="232">
          <cell r="C232" t="str">
            <v>Control</v>
          </cell>
          <cell r="D232" t="str">
            <v>North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P232">
            <v>69.400000000000006</v>
          </cell>
        </row>
        <row r="233">
          <cell r="C233" t="str">
            <v>Control</v>
          </cell>
          <cell r="D233" t="str">
            <v>North</v>
          </cell>
          <cell r="H233">
            <v>1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P233">
            <v>56.1</v>
          </cell>
        </row>
        <row r="234">
          <cell r="C234" t="str">
            <v>Control</v>
          </cell>
          <cell r="D234" t="str">
            <v>West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P234">
            <v>55.8</v>
          </cell>
        </row>
        <row r="235">
          <cell r="C235" t="str">
            <v>Control</v>
          </cell>
          <cell r="D235" t="str">
            <v>North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P235">
            <v>49.3</v>
          </cell>
        </row>
        <row r="236">
          <cell r="C236" t="str">
            <v>Control</v>
          </cell>
          <cell r="D236" t="str">
            <v>North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P236">
            <v>71.8</v>
          </cell>
        </row>
        <row r="237">
          <cell r="C237" t="str">
            <v>Control</v>
          </cell>
          <cell r="D237" t="str">
            <v>West</v>
          </cell>
          <cell r="H237">
            <v>1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3</v>
          </cell>
          <cell r="N237">
            <v>0</v>
          </cell>
          <cell r="P237">
            <v>39.700000000000003</v>
          </cell>
        </row>
        <row r="238">
          <cell r="C238" t="str">
            <v>Control</v>
          </cell>
          <cell r="D238" t="str">
            <v>South</v>
          </cell>
          <cell r="H238">
            <v>1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P238">
            <v>45.4</v>
          </cell>
        </row>
        <row r="239">
          <cell r="C239" t="str">
            <v>Control</v>
          </cell>
          <cell r="D239" t="str">
            <v>North</v>
          </cell>
          <cell r="H239">
            <v>1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P239">
            <v>69.900000000000006</v>
          </cell>
        </row>
        <row r="240">
          <cell r="C240" t="str">
            <v>Control</v>
          </cell>
          <cell r="D240" t="str">
            <v>North</v>
          </cell>
          <cell r="H240">
            <v>1</v>
          </cell>
          <cell r="I240">
            <v>1</v>
          </cell>
          <cell r="J240">
            <v>1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P240">
            <v>56.1</v>
          </cell>
        </row>
        <row r="241">
          <cell r="C241" t="str">
            <v>Control</v>
          </cell>
          <cell r="D241" t="str">
            <v>West</v>
          </cell>
          <cell r="H241">
            <v>1</v>
          </cell>
          <cell r="I241">
            <v>1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P241">
            <v>45.9</v>
          </cell>
        </row>
        <row r="242">
          <cell r="C242" t="str">
            <v>Control</v>
          </cell>
          <cell r="D242" t="str">
            <v>West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P242">
            <v>65.8</v>
          </cell>
        </row>
        <row r="243">
          <cell r="C243" t="str">
            <v>Control</v>
          </cell>
          <cell r="D243" t="str">
            <v>North</v>
          </cell>
          <cell r="H243">
            <v>1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P243">
            <v>48.2</v>
          </cell>
        </row>
        <row r="244">
          <cell r="C244" t="str">
            <v>Control</v>
          </cell>
          <cell r="D244" t="str">
            <v>East</v>
          </cell>
          <cell r="H244">
            <v>1</v>
          </cell>
          <cell r="I244">
            <v>1</v>
          </cell>
          <cell r="J244">
            <v>1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P244">
            <v>81.099999999999994</v>
          </cell>
        </row>
        <row r="245">
          <cell r="C245" t="str">
            <v>Control</v>
          </cell>
          <cell r="D245" t="str">
            <v>East</v>
          </cell>
          <cell r="H245">
            <v>1</v>
          </cell>
          <cell r="I245">
            <v>1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P245">
            <v>53.2</v>
          </cell>
        </row>
        <row r="246">
          <cell r="C246" t="str">
            <v>Control</v>
          </cell>
          <cell r="D246" t="str">
            <v>North</v>
          </cell>
          <cell r="H246">
            <v>1</v>
          </cell>
          <cell r="I246">
            <v>1</v>
          </cell>
          <cell r="J246">
            <v>1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P246">
            <v>57.7</v>
          </cell>
        </row>
        <row r="247">
          <cell r="C247" t="str">
            <v>Control</v>
          </cell>
          <cell r="D247" t="str">
            <v>West</v>
          </cell>
          <cell r="H247">
            <v>1</v>
          </cell>
          <cell r="I247">
            <v>1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P247">
            <v>78.900000000000006</v>
          </cell>
        </row>
        <row r="248">
          <cell r="C248" t="str">
            <v>Control</v>
          </cell>
          <cell r="D248" t="str">
            <v>South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P248">
            <v>55.7</v>
          </cell>
        </row>
        <row r="249">
          <cell r="C249" t="str">
            <v>Control</v>
          </cell>
          <cell r="D249" t="str">
            <v>West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P249">
            <v>52.3</v>
          </cell>
        </row>
        <row r="250">
          <cell r="C250" t="str">
            <v>Control</v>
          </cell>
          <cell r="D250" t="str">
            <v>North</v>
          </cell>
          <cell r="H250">
            <v>1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P250">
            <v>51.5</v>
          </cell>
        </row>
        <row r="251">
          <cell r="C251" t="str">
            <v>Control</v>
          </cell>
          <cell r="D251" t="str">
            <v>North</v>
          </cell>
          <cell r="H251">
            <v>1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P251">
            <v>70.8</v>
          </cell>
        </row>
        <row r="252">
          <cell r="C252" t="str">
            <v>Control</v>
          </cell>
          <cell r="D252" t="str">
            <v>North</v>
          </cell>
          <cell r="H252">
            <v>1</v>
          </cell>
          <cell r="I252">
            <v>1</v>
          </cell>
          <cell r="J252">
            <v>1</v>
          </cell>
          <cell r="K252">
            <v>1</v>
          </cell>
          <cell r="L252">
            <v>1250.78</v>
          </cell>
          <cell r="M252">
            <v>0</v>
          </cell>
          <cell r="N252">
            <v>0</v>
          </cell>
          <cell r="O252">
            <v>10</v>
          </cell>
          <cell r="P252">
            <v>39</v>
          </cell>
        </row>
        <row r="253">
          <cell r="C253" t="str">
            <v>Control</v>
          </cell>
          <cell r="D253" t="str">
            <v>West</v>
          </cell>
          <cell r="H253">
            <v>1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P253">
            <v>61.6</v>
          </cell>
        </row>
        <row r="254">
          <cell r="C254" t="str">
            <v>Control</v>
          </cell>
          <cell r="D254" t="str">
            <v>East</v>
          </cell>
          <cell r="H254">
            <v>1</v>
          </cell>
          <cell r="I254">
            <v>1</v>
          </cell>
          <cell r="J254">
            <v>1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P254">
            <v>46.8</v>
          </cell>
        </row>
        <row r="255">
          <cell r="C255" t="str">
            <v>Control</v>
          </cell>
          <cell r="D255" t="str">
            <v>North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1</v>
          </cell>
          <cell r="N255">
            <v>0</v>
          </cell>
          <cell r="P255">
            <v>58.5</v>
          </cell>
        </row>
        <row r="256">
          <cell r="C256" t="str">
            <v>Control</v>
          </cell>
          <cell r="D256" t="str">
            <v>North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P256">
            <v>70.900000000000006</v>
          </cell>
        </row>
        <row r="257">
          <cell r="C257" t="str">
            <v>Control</v>
          </cell>
          <cell r="D257" t="str">
            <v>South</v>
          </cell>
          <cell r="H257">
            <v>1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P257">
            <v>48.4</v>
          </cell>
        </row>
        <row r="258">
          <cell r="C258" t="str">
            <v>Control</v>
          </cell>
          <cell r="D258" t="str">
            <v>North</v>
          </cell>
          <cell r="H258">
            <v>1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P258">
            <v>58</v>
          </cell>
        </row>
        <row r="259">
          <cell r="C259" t="str">
            <v>Control</v>
          </cell>
          <cell r="D259" t="str">
            <v>North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P259">
            <v>61.6</v>
          </cell>
        </row>
        <row r="260">
          <cell r="C260" t="str">
            <v>Control</v>
          </cell>
          <cell r="D260" t="str">
            <v>East</v>
          </cell>
          <cell r="H260">
            <v>1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P260">
            <v>43.2</v>
          </cell>
        </row>
        <row r="261">
          <cell r="C261" t="str">
            <v>Control</v>
          </cell>
          <cell r="D261" t="str">
            <v>East</v>
          </cell>
          <cell r="H261">
            <v>1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1</v>
          </cell>
          <cell r="N261">
            <v>0</v>
          </cell>
          <cell r="P261">
            <v>53.3</v>
          </cell>
        </row>
        <row r="262">
          <cell r="C262" t="str">
            <v>Control</v>
          </cell>
          <cell r="D262" t="str">
            <v>East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P262">
            <v>33.9</v>
          </cell>
        </row>
        <row r="263">
          <cell r="C263" t="str">
            <v>Control</v>
          </cell>
          <cell r="D263" t="str">
            <v>East</v>
          </cell>
          <cell r="H263">
            <v>1</v>
          </cell>
          <cell r="I263">
            <v>1</v>
          </cell>
          <cell r="J263">
            <v>1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P263">
            <v>35.4</v>
          </cell>
        </row>
        <row r="264">
          <cell r="C264" t="str">
            <v>Control</v>
          </cell>
          <cell r="D264" t="str">
            <v>West</v>
          </cell>
          <cell r="H264">
            <v>1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P264">
            <v>45</v>
          </cell>
        </row>
        <row r="265">
          <cell r="C265" t="str">
            <v>Control</v>
          </cell>
          <cell r="D265" t="str">
            <v>South</v>
          </cell>
          <cell r="H265">
            <v>1</v>
          </cell>
          <cell r="I265">
            <v>1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P265">
            <v>86.5</v>
          </cell>
        </row>
        <row r="266">
          <cell r="C266" t="str">
            <v>Control</v>
          </cell>
          <cell r="D266" t="str">
            <v>West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P266">
            <v>58.1</v>
          </cell>
        </row>
        <row r="267">
          <cell r="C267" t="str">
            <v>Control</v>
          </cell>
          <cell r="D267" t="str">
            <v>West</v>
          </cell>
          <cell r="H267">
            <v>1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P267">
            <v>36.1</v>
          </cell>
        </row>
        <row r="268">
          <cell r="C268" t="str">
            <v>Control</v>
          </cell>
          <cell r="D268" t="str">
            <v>East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P268">
            <v>62.8</v>
          </cell>
        </row>
        <row r="269">
          <cell r="C269" t="str">
            <v>Control</v>
          </cell>
          <cell r="D269" t="str">
            <v>South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P269">
            <v>54.2</v>
          </cell>
        </row>
        <row r="270">
          <cell r="C270" t="str">
            <v>Control</v>
          </cell>
          <cell r="D270" t="str">
            <v>East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P270">
            <v>50</v>
          </cell>
        </row>
        <row r="271">
          <cell r="C271" t="str">
            <v>Control</v>
          </cell>
          <cell r="D271" t="str">
            <v>East</v>
          </cell>
          <cell r="H271">
            <v>1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P271">
            <v>62</v>
          </cell>
        </row>
        <row r="272">
          <cell r="C272" t="str">
            <v>Control</v>
          </cell>
          <cell r="D272" t="str">
            <v>East</v>
          </cell>
          <cell r="H272">
            <v>1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P272">
            <v>29.3</v>
          </cell>
        </row>
        <row r="273">
          <cell r="C273" t="str">
            <v>Control</v>
          </cell>
          <cell r="D273" t="str">
            <v>West</v>
          </cell>
          <cell r="H273">
            <v>1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P273">
            <v>67.900000000000006</v>
          </cell>
        </row>
        <row r="274">
          <cell r="C274" t="str">
            <v>Control</v>
          </cell>
          <cell r="D274" t="str">
            <v>North</v>
          </cell>
          <cell r="H274">
            <v>1</v>
          </cell>
          <cell r="I274">
            <v>1</v>
          </cell>
          <cell r="J274">
            <v>1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P274">
            <v>67.599999999999994</v>
          </cell>
        </row>
        <row r="275">
          <cell r="C275" t="str">
            <v>Control</v>
          </cell>
          <cell r="D275" t="str">
            <v>South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P275">
            <v>67.400000000000006</v>
          </cell>
        </row>
        <row r="276">
          <cell r="C276" t="str">
            <v>Control</v>
          </cell>
          <cell r="D276" t="str">
            <v>West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2</v>
          </cell>
          <cell r="N276">
            <v>0</v>
          </cell>
          <cell r="P276">
            <v>53</v>
          </cell>
        </row>
        <row r="277">
          <cell r="C277" t="str">
            <v>Control</v>
          </cell>
          <cell r="D277" t="str">
            <v>North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P277">
            <v>65.5</v>
          </cell>
        </row>
        <row r="278">
          <cell r="C278" t="str">
            <v>Control</v>
          </cell>
          <cell r="D278" t="str">
            <v>South</v>
          </cell>
          <cell r="H278">
            <v>1</v>
          </cell>
          <cell r="I278">
            <v>1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P278">
            <v>49.6</v>
          </cell>
        </row>
        <row r="279">
          <cell r="C279" t="str">
            <v>Control</v>
          </cell>
          <cell r="D279" t="str">
            <v>North</v>
          </cell>
          <cell r="H279">
            <v>1</v>
          </cell>
          <cell r="I279">
            <v>1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P279">
            <v>74.5</v>
          </cell>
        </row>
        <row r="280">
          <cell r="C280" t="str">
            <v>Control</v>
          </cell>
          <cell r="D280" t="str">
            <v>North</v>
          </cell>
          <cell r="H280">
            <v>1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1</v>
          </cell>
          <cell r="N280">
            <v>0</v>
          </cell>
          <cell r="P280">
            <v>46.9</v>
          </cell>
        </row>
        <row r="281">
          <cell r="C281" t="str">
            <v>Control</v>
          </cell>
          <cell r="D281" t="str">
            <v>North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P281">
            <v>87.1</v>
          </cell>
        </row>
        <row r="282">
          <cell r="C282" t="str">
            <v>Control</v>
          </cell>
          <cell r="D282" t="str">
            <v>North</v>
          </cell>
          <cell r="H282">
            <v>1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P282">
            <v>56</v>
          </cell>
        </row>
        <row r="283">
          <cell r="C283" t="str">
            <v>Control</v>
          </cell>
          <cell r="D283" t="str">
            <v>East</v>
          </cell>
          <cell r="H283">
            <v>1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1</v>
          </cell>
          <cell r="N283">
            <v>0</v>
          </cell>
          <cell r="P283">
            <v>61.7</v>
          </cell>
        </row>
        <row r="284">
          <cell r="C284" t="str">
            <v>Control</v>
          </cell>
          <cell r="D284" t="str">
            <v>South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1</v>
          </cell>
          <cell r="N284">
            <v>0</v>
          </cell>
          <cell r="P284">
            <v>70.5</v>
          </cell>
        </row>
        <row r="285">
          <cell r="C285" t="str">
            <v>Control</v>
          </cell>
          <cell r="D285" t="str">
            <v>North</v>
          </cell>
          <cell r="H285">
            <v>1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P285">
            <v>33.4</v>
          </cell>
        </row>
        <row r="286">
          <cell r="C286" t="str">
            <v>Control</v>
          </cell>
          <cell r="D286" t="str">
            <v>South</v>
          </cell>
          <cell r="H286">
            <v>1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P286">
            <v>57.5</v>
          </cell>
        </row>
        <row r="287">
          <cell r="C287" t="str">
            <v>Control</v>
          </cell>
          <cell r="D287" t="str">
            <v>North</v>
          </cell>
          <cell r="H287">
            <v>1</v>
          </cell>
          <cell r="I287">
            <v>1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P287">
            <v>85.7</v>
          </cell>
        </row>
        <row r="288">
          <cell r="C288" t="str">
            <v>Control</v>
          </cell>
          <cell r="D288" t="str">
            <v>East</v>
          </cell>
          <cell r="H288">
            <v>1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P288">
            <v>41.9</v>
          </cell>
        </row>
        <row r="289">
          <cell r="C289" t="str">
            <v>Control</v>
          </cell>
          <cell r="D289" t="str">
            <v>West</v>
          </cell>
          <cell r="H289">
            <v>1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P289">
            <v>70.2</v>
          </cell>
        </row>
        <row r="290">
          <cell r="C290" t="str">
            <v>Control</v>
          </cell>
          <cell r="D290" t="str">
            <v>North</v>
          </cell>
          <cell r="H290">
            <v>1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P290">
            <v>42.6</v>
          </cell>
        </row>
        <row r="291">
          <cell r="C291" t="str">
            <v>Control</v>
          </cell>
          <cell r="D291" t="str">
            <v>West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2</v>
          </cell>
          <cell r="N291">
            <v>0</v>
          </cell>
          <cell r="P291">
            <v>30.4</v>
          </cell>
        </row>
        <row r="292">
          <cell r="C292" t="str">
            <v>Control</v>
          </cell>
          <cell r="D292" t="str">
            <v>East</v>
          </cell>
          <cell r="H292">
            <v>1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P292">
            <v>63.7</v>
          </cell>
        </row>
        <row r="293">
          <cell r="C293" t="str">
            <v>Control</v>
          </cell>
          <cell r="D293" t="str">
            <v>South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P293">
            <v>42.7</v>
          </cell>
        </row>
        <row r="294">
          <cell r="C294" t="str">
            <v>Control</v>
          </cell>
          <cell r="D294" t="str">
            <v>North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P294">
            <v>74.3</v>
          </cell>
        </row>
        <row r="295">
          <cell r="C295" t="str">
            <v>Control</v>
          </cell>
          <cell r="D295" t="str">
            <v>West</v>
          </cell>
          <cell r="H295">
            <v>1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P295">
            <v>40.6</v>
          </cell>
        </row>
        <row r="296">
          <cell r="C296" t="str">
            <v>Control</v>
          </cell>
          <cell r="D296" t="str">
            <v>East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P296">
            <v>67</v>
          </cell>
        </row>
        <row r="297">
          <cell r="C297" t="str">
            <v>Control</v>
          </cell>
          <cell r="D297" t="str">
            <v>East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P297">
            <v>51</v>
          </cell>
        </row>
        <row r="298">
          <cell r="C298" t="str">
            <v>Control</v>
          </cell>
          <cell r="D298" t="str">
            <v>West</v>
          </cell>
          <cell r="H298">
            <v>1</v>
          </cell>
          <cell r="I298">
            <v>1</v>
          </cell>
          <cell r="J298">
            <v>0</v>
          </cell>
          <cell r="K298">
            <v>0</v>
          </cell>
          <cell r="L298">
            <v>0</v>
          </cell>
          <cell r="M298">
            <v>1</v>
          </cell>
          <cell r="N298">
            <v>0</v>
          </cell>
          <cell r="P298">
            <v>54.8</v>
          </cell>
        </row>
        <row r="299">
          <cell r="C299" t="str">
            <v>Control</v>
          </cell>
          <cell r="D299" t="str">
            <v>North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P299">
            <v>40.799999999999997</v>
          </cell>
        </row>
        <row r="300">
          <cell r="C300" t="str">
            <v>Control</v>
          </cell>
          <cell r="D300" t="str">
            <v>East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P300">
            <v>48.8</v>
          </cell>
        </row>
        <row r="301">
          <cell r="C301" t="str">
            <v>Control</v>
          </cell>
          <cell r="D301" t="str">
            <v>South</v>
          </cell>
          <cell r="H301">
            <v>1</v>
          </cell>
          <cell r="I301">
            <v>1</v>
          </cell>
          <cell r="J301">
            <v>1</v>
          </cell>
          <cell r="K301">
            <v>1</v>
          </cell>
          <cell r="L301">
            <v>1198.69</v>
          </cell>
          <cell r="M301">
            <v>1</v>
          </cell>
          <cell r="N301">
            <v>0</v>
          </cell>
          <cell r="O301">
            <v>6</v>
          </cell>
          <cell r="P301">
            <v>88.9</v>
          </cell>
        </row>
        <row r="302">
          <cell r="C302" t="str">
            <v>Control</v>
          </cell>
          <cell r="D302" t="str">
            <v>North</v>
          </cell>
          <cell r="H302">
            <v>1</v>
          </cell>
          <cell r="I302">
            <v>1</v>
          </cell>
          <cell r="J302">
            <v>1</v>
          </cell>
          <cell r="K302">
            <v>0</v>
          </cell>
          <cell r="L302">
            <v>0</v>
          </cell>
          <cell r="M302">
            <v>1</v>
          </cell>
          <cell r="N302">
            <v>0</v>
          </cell>
          <cell r="P302">
            <v>60.5</v>
          </cell>
        </row>
        <row r="303">
          <cell r="C303" t="str">
            <v>Control</v>
          </cell>
          <cell r="D303" t="str">
            <v>North</v>
          </cell>
          <cell r="H303">
            <v>1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P303">
            <v>63.6</v>
          </cell>
        </row>
        <row r="304">
          <cell r="C304" t="str">
            <v>Control</v>
          </cell>
          <cell r="D304" t="str">
            <v>North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6788.95</v>
          </cell>
          <cell r="M304">
            <v>0</v>
          </cell>
          <cell r="N304">
            <v>0</v>
          </cell>
          <cell r="O304">
            <v>17</v>
          </cell>
          <cell r="P304">
            <v>58.4</v>
          </cell>
        </row>
        <row r="305">
          <cell r="C305" t="str">
            <v>Control</v>
          </cell>
          <cell r="D305" t="str">
            <v>South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P305">
            <v>52.7</v>
          </cell>
        </row>
        <row r="306">
          <cell r="C306" t="str">
            <v>Control</v>
          </cell>
          <cell r="D306" t="str">
            <v>South</v>
          </cell>
          <cell r="H306">
            <v>1</v>
          </cell>
          <cell r="I306">
            <v>1</v>
          </cell>
          <cell r="J306">
            <v>1</v>
          </cell>
          <cell r="K306">
            <v>0</v>
          </cell>
          <cell r="L306">
            <v>0</v>
          </cell>
          <cell r="M306">
            <v>2</v>
          </cell>
          <cell r="N306">
            <v>0</v>
          </cell>
          <cell r="P306">
            <v>48.9</v>
          </cell>
        </row>
        <row r="307">
          <cell r="C307" t="str">
            <v>Control</v>
          </cell>
          <cell r="D307" t="str">
            <v>West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P307">
            <v>79.7</v>
          </cell>
        </row>
        <row r="308">
          <cell r="C308" t="str">
            <v>Control</v>
          </cell>
          <cell r="D308" t="str">
            <v>North</v>
          </cell>
          <cell r="H308">
            <v>1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P308">
            <v>44.9</v>
          </cell>
        </row>
        <row r="309">
          <cell r="C309" t="str">
            <v>Control</v>
          </cell>
          <cell r="D309" t="str">
            <v>West</v>
          </cell>
          <cell r="H309">
            <v>1</v>
          </cell>
          <cell r="I309">
            <v>1</v>
          </cell>
          <cell r="J309">
            <v>1</v>
          </cell>
          <cell r="K309">
            <v>1</v>
          </cell>
          <cell r="L309">
            <v>409.39</v>
          </cell>
          <cell r="M309">
            <v>0</v>
          </cell>
          <cell r="N309">
            <v>0</v>
          </cell>
          <cell r="O309">
            <v>10</v>
          </cell>
          <cell r="P309">
            <v>38.799999999999997</v>
          </cell>
        </row>
        <row r="310">
          <cell r="C310" t="str">
            <v>Control</v>
          </cell>
          <cell r="D310" t="str">
            <v>South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P310">
            <v>70</v>
          </cell>
        </row>
        <row r="311">
          <cell r="C311" t="str">
            <v>Control</v>
          </cell>
          <cell r="D311" t="str">
            <v>South</v>
          </cell>
          <cell r="H311">
            <v>1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P311">
            <v>77.7</v>
          </cell>
        </row>
        <row r="312">
          <cell r="C312" t="str">
            <v>Control</v>
          </cell>
          <cell r="D312" t="str">
            <v>West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P312">
            <v>71.2</v>
          </cell>
        </row>
        <row r="313">
          <cell r="C313" t="str">
            <v>Control</v>
          </cell>
          <cell r="D313" t="str">
            <v>North</v>
          </cell>
          <cell r="H313">
            <v>1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P313">
            <v>43.8</v>
          </cell>
        </row>
        <row r="314">
          <cell r="C314" t="str">
            <v>Control</v>
          </cell>
          <cell r="D314" t="str">
            <v>South</v>
          </cell>
          <cell r="H314">
            <v>1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P314">
            <v>50.9</v>
          </cell>
        </row>
        <row r="315">
          <cell r="C315" t="str">
            <v>Control</v>
          </cell>
          <cell r="D315" t="str">
            <v>West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P315">
            <v>58.5</v>
          </cell>
        </row>
        <row r="316">
          <cell r="C316" t="str">
            <v>Control</v>
          </cell>
          <cell r="D316" t="str">
            <v>East</v>
          </cell>
          <cell r="H316">
            <v>1</v>
          </cell>
          <cell r="I316">
            <v>1</v>
          </cell>
          <cell r="J316">
            <v>1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P316">
            <v>53.6</v>
          </cell>
        </row>
        <row r="317">
          <cell r="C317" t="str">
            <v>Control</v>
          </cell>
          <cell r="D317" t="str">
            <v>East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P317">
            <v>54.9</v>
          </cell>
        </row>
        <row r="318">
          <cell r="C318" t="str">
            <v>Control</v>
          </cell>
          <cell r="D318" t="str">
            <v>North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P318">
            <v>57.3</v>
          </cell>
        </row>
        <row r="319">
          <cell r="C319" t="str">
            <v>Control</v>
          </cell>
          <cell r="D319" t="str">
            <v>East</v>
          </cell>
          <cell r="H319">
            <v>1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P319">
            <v>52.1</v>
          </cell>
        </row>
        <row r="320">
          <cell r="C320" t="str">
            <v>Control</v>
          </cell>
          <cell r="D320" t="str">
            <v>North</v>
          </cell>
          <cell r="H320">
            <v>1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P320">
            <v>80</v>
          </cell>
        </row>
        <row r="321">
          <cell r="C321" t="str">
            <v>Control</v>
          </cell>
          <cell r="D321" t="str">
            <v>South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P321">
            <v>39.299999999999997</v>
          </cell>
        </row>
        <row r="322">
          <cell r="C322" t="str">
            <v>Control</v>
          </cell>
          <cell r="D322" t="str">
            <v>North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P322">
            <v>45.7</v>
          </cell>
        </row>
        <row r="323">
          <cell r="C323" t="str">
            <v>Control</v>
          </cell>
          <cell r="D323" t="str">
            <v>North</v>
          </cell>
          <cell r="H323">
            <v>1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2</v>
          </cell>
          <cell r="N323">
            <v>0</v>
          </cell>
          <cell r="P323">
            <v>61.2</v>
          </cell>
        </row>
        <row r="324">
          <cell r="C324" t="str">
            <v>Control</v>
          </cell>
          <cell r="D324" t="str">
            <v>West</v>
          </cell>
          <cell r="H324">
            <v>1</v>
          </cell>
          <cell r="I324">
            <v>1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P324">
            <v>66.2</v>
          </cell>
        </row>
        <row r="325">
          <cell r="C325" t="str">
            <v>Control</v>
          </cell>
          <cell r="D325" t="str">
            <v>East</v>
          </cell>
          <cell r="H325">
            <v>1</v>
          </cell>
          <cell r="I325">
            <v>1</v>
          </cell>
          <cell r="J325">
            <v>1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P325">
            <v>61.3</v>
          </cell>
        </row>
        <row r="326">
          <cell r="C326" t="str">
            <v>Control</v>
          </cell>
          <cell r="D326" t="str">
            <v>East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P326">
            <v>72.2</v>
          </cell>
        </row>
        <row r="327">
          <cell r="C327" t="str">
            <v>Control</v>
          </cell>
          <cell r="D327" t="str">
            <v>West</v>
          </cell>
          <cell r="H327">
            <v>1</v>
          </cell>
          <cell r="I327">
            <v>1</v>
          </cell>
          <cell r="J327">
            <v>1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P327">
            <v>84</v>
          </cell>
        </row>
        <row r="328">
          <cell r="C328" t="str">
            <v>Control</v>
          </cell>
          <cell r="D328" t="str">
            <v>West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P328">
            <v>59.8</v>
          </cell>
        </row>
        <row r="329">
          <cell r="C329" t="str">
            <v>Control</v>
          </cell>
          <cell r="D329" t="str">
            <v>West</v>
          </cell>
          <cell r="H329">
            <v>1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P329">
            <v>64.900000000000006</v>
          </cell>
        </row>
        <row r="330">
          <cell r="C330" t="str">
            <v>Control</v>
          </cell>
          <cell r="D330" t="str">
            <v>South</v>
          </cell>
          <cell r="H330">
            <v>1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P330">
            <v>66.8</v>
          </cell>
        </row>
        <row r="331">
          <cell r="C331" t="str">
            <v>Control</v>
          </cell>
          <cell r="D331" t="str">
            <v>North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P331">
            <v>70.900000000000006</v>
          </cell>
        </row>
        <row r="332">
          <cell r="C332" t="str">
            <v>Control</v>
          </cell>
          <cell r="D332" t="str">
            <v>East</v>
          </cell>
          <cell r="H332">
            <v>1</v>
          </cell>
          <cell r="I332">
            <v>1</v>
          </cell>
          <cell r="J332">
            <v>1</v>
          </cell>
          <cell r="K332">
            <v>1</v>
          </cell>
          <cell r="L332">
            <v>426.82</v>
          </cell>
          <cell r="M332">
            <v>1</v>
          </cell>
          <cell r="N332">
            <v>0</v>
          </cell>
          <cell r="O332">
            <v>14</v>
          </cell>
          <cell r="P332">
            <v>68.8</v>
          </cell>
        </row>
        <row r="333">
          <cell r="C333" t="str">
            <v>Control</v>
          </cell>
          <cell r="D333" t="str">
            <v>North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P333">
            <v>72.400000000000006</v>
          </cell>
        </row>
        <row r="334">
          <cell r="C334" t="str">
            <v>Control</v>
          </cell>
          <cell r="D334" t="str">
            <v>East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P334">
            <v>63.3</v>
          </cell>
        </row>
        <row r="335">
          <cell r="C335" t="str">
            <v>Control</v>
          </cell>
          <cell r="D335" t="str">
            <v>West</v>
          </cell>
          <cell r="H335">
            <v>1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P335">
            <v>30.8</v>
          </cell>
        </row>
        <row r="336">
          <cell r="C336" t="str">
            <v>Control</v>
          </cell>
          <cell r="D336" t="str">
            <v>South</v>
          </cell>
          <cell r="H336">
            <v>1</v>
          </cell>
          <cell r="I336">
            <v>1</v>
          </cell>
          <cell r="J336">
            <v>1</v>
          </cell>
          <cell r="K336">
            <v>1</v>
          </cell>
          <cell r="L336">
            <v>874.55</v>
          </cell>
          <cell r="M336">
            <v>0</v>
          </cell>
          <cell r="N336">
            <v>0</v>
          </cell>
          <cell r="O336">
            <v>9</v>
          </cell>
          <cell r="P336">
            <v>44.2</v>
          </cell>
        </row>
        <row r="337">
          <cell r="C337" t="str">
            <v>Control</v>
          </cell>
          <cell r="D337" t="str">
            <v>South</v>
          </cell>
          <cell r="H337">
            <v>1</v>
          </cell>
          <cell r="I337">
            <v>1</v>
          </cell>
          <cell r="J337">
            <v>1</v>
          </cell>
          <cell r="K337">
            <v>1</v>
          </cell>
          <cell r="L337">
            <v>2206.88</v>
          </cell>
          <cell r="M337">
            <v>0</v>
          </cell>
          <cell r="N337">
            <v>0</v>
          </cell>
          <cell r="O337">
            <v>10</v>
          </cell>
          <cell r="P337">
            <v>56.2</v>
          </cell>
        </row>
        <row r="338">
          <cell r="C338" t="str">
            <v>Control</v>
          </cell>
          <cell r="D338" t="str">
            <v>West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P338">
            <v>40.4</v>
          </cell>
        </row>
        <row r="339">
          <cell r="C339" t="str">
            <v>Control</v>
          </cell>
          <cell r="D339" t="str">
            <v>East</v>
          </cell>
          <cell r="H339">
            <v>1</v>
          </cell>
          <cell r="I339">
            <v>1</v>
          </cell>
          <cell r="J339">
            <v>1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P339">
            <v>68.099999999999994</v>
          </cell>
        </row>
        <row r="340">
          <cell r="C340" t="str">
            <v>Control</v>
          </cell>
          <cell r="D340" t="str">
            <v>West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P340">
            <v>86.3</v>
          </cell>
        </row>
        <row r="341">
          <cell r="C341" t="str">
            <v>Control</v>
          </cell>
          <cell r="D341" t="str">
            <v>West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P341">
            <v>42.9</v>
          </cell>
        </row>
        <row r="342">
          <cell r="C342" t="str">
            <v>Control</v>
          </cell>
          <cell r="D342" t="str">
            <v>West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P342">
            <v>61.4</v>
          </cell>
        </row>
        <row r="343">
          <cell r="C343" t="str">
            <v>Control</v>
          </cell>
          <cell r="D343" t="str">
            <v>North</v>
          </cell>
          <cell r="H343">
            <v>1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1</v>
          </cell>
          <cell r="N343">
            <v>0</v>
          </cell>
          <cell r="P343">
            <v>73.3</v>
          </cell>
        </row>
        <row r="344">
          <cell r="C344" t="str">
            <v>Control</v>
          </cell>
          <cell r="D344" t="str">
            <v>South</v>
          </cell>
          <cell r="H344">
            <v>1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P344">
            <v>59.4</v>
          </cell>
        </row>
        <row r="345">
          <cell r="C345" t="str">
            <v>Control</v>
          </cell>
          <cell r="D345" t="str">
            <v>South</v>
          </cell>
          <cell r="H345">
            <v>1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P345">
            <v>35.200000000000003</v>
          </cell>
        </row>
        <row r="346">
          <cell r="C346" t="str">
            <v>Control</v>
          </cell>
          <cell r="D346" t="str">
            <v>South</v>
          </cell>
          <cell r="H346">
            <v>1</v>
          </cell>
          <cell r="I346">
            <v>1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P346">
            <v>55.3</v>
          </cell>
        </row>
        <row r="347">
          <cell r="C347" t="str">
            <v>Control</v>
          </cell>
          <cell r="D347" t="str">
            <v>East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P347">
            <v>37.5</v>
          </cell>
        </row>
        <row r="348">
          <cell r="C348" t="str">
            <v>Control</v>
          </cell>
          <cell r="D348" t="str">
            <v>South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1</v>
          </cell>
          <cell r="N348">
            <v>0</v>
          </cell>
          <cell r="P348">
            <v>66.400000000000006</v>
          </cell>
        </row>
        <row r="349">
          <cell r="C349" t="str">
            <v>Control</v>
          </cell>
          <cell r="D349" t="str">
            <v>North</v>
          </cell>
          <cell r="H349">
            <v>1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P349">
            <v>61.9</v>
          </cell>
        </row>
        <row r="350">
          <cell r="C350" t="str">
            <v>Control</v>
          </cell>
          <cell r="D350" t="str">
            <v>East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P350">
            <v>56</v>
          </cell>
        </row>
        <row r="351">
          <cell r="C351" t="str">
            <v>Control</v>
          </cell>
          <cell r="D351" t="str">
            <v>South</v>
          </cell>
          <cell r="H351">
            <v>1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P351">
            <v>55.5</v>
          </cell>
        </row>
        <row r="352">
          <cell r="C352" t="str">
            <v>Control</v>
          </cell>
          <cell r="D352" t="str">
            <v>West</v>
          </cell>
          <cell r="H352">
            <v>1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P352">
            <v>37.200000000000003</v>
          </cell>
        </row>
        <row r="353">
          <cell r="C353" t="str">
            <v>Control</v>
          </cell>
          <cell r="D353" t="str">
            <v>South</v>
          </cell>
          <cell r="H353">
            <v>1</v>
          </cell>
          <cell r="I353">
            <v>1</v>
          </cell>
          <cell r="J353">
            <v>0</v>
          </cell>
          <cell r="K353">
            <v>0</v>
          </cell>
          <cell r="L353">
            <v>0</v>
          </cell>
          <cell r="M353">
            <v>1</v>
          </cell>
          <cell r="N353">
            <v>0</v>
          </cell>
          <cell r="P353">
            <v>70.5</v>
          </cell>
        </row>
        <row r="354">
          <cell r="C354" t="str">
            <v>Control</v>
          </cell>
          <cell r="D354" t="str">
            <v>North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P354">
            <v>61.2</v>
          </cell>
        </row>
        <row r="355">
          <cell r="C355" t="str">
            <v>Control</v>
          </cell>
          <cell r="D355" t="str">
            <v>East</v>
          </cell>
          <cell r="H355">
            <v>1</v>
          </cell>
          <cell r="I355">
            <v>1</v>
          </cell>
          <cell r="J355">
            <v>1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P355">
            <v>64.599999999999994</v>
          </cell>
        </row>
        <row r="356">
          <cell r="C356" t="str">
            <v>Control</v>
          </cell>
          <cell r="D356" t="str">
            <v>East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P356">
            <v>91.7</v>
          </cell>
        </row>
        <row r="357">
          <cell r="C357" t="str">
            <v>Control</v>
          </cell>
          <cell r="D357" t="str">
            <v>West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P357">
            <v>46</v>
          </cell>
        </row>
        <row r="358">
          <cell r="C358" t="str">
            <v>Control</v>
          </cell>
          <cell r="D358" t="str">
            <v>West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P358">
            <v>50.8</v>
          </cell>
        </row>
        <row r="359">
          <cell r="C359" t="str">
            <v>Control</v>
          </cell>
          <cell r="D359" t="str">
            <v>North</v>
          </cell>
          <cell r="H359">
            <v>1</v>
          </cell>
          <cell r="I359">
            <v>1</v>
          </cell>
          <cell r="J359">
            <v>1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P359">
            <v>52.8</v>
          </cell>
        </row>
        <row r="360">
          <cell r="C360" t="str">
            <v>Control</v>
          </cell>
          <cell r="D360" t="str">
            <v>South</v>
          </cell>
          <cell r="H360">
            <v>1</v>
          </cell>
          <cell r="I360">
            <v>1</v>
          </cell>
          <cell r="J360">
            <v>1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P360">
            <v>63</v>
          </cell>
        </row>
        <row r="361">
          <cell r="C361" t="str">
            <v>Control</v>
          </cell>
          <cell r="D361" t="str">
            <v>West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P361">
            <v>28.4</v>
          </cell>
        </row>
        <row r="362">
          <cell r="C362" t="str">
            <v>Control</v>
          </cell>
          <cell r="D362" t="str">
            <v>West</v>
          </cell>
          <cell r="H362">
            <v>1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P362">
            <v>65.599999999999994</v>
          </cell>
        </row>
        <row r="363">
          <cell r="C363" t="str">
            <v>Control</v>
          </cell>
          <cell r="D363" t="str">
            <v>North</v>
          </cell>
          <cell r="H363">
            <v>1</v>
          </cell>
          <cell r="I363">
            <v>1</v>
          </cell>
          <cell r="J363">
            <v>1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P363">
            <v>54.7</v>
          </cell>
        </row>
        <row r="364">
          <cell r="C364" t="str">
            <v>Control</v>
          </cell>
          <cell r="D364" t="str">
            <v>North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P364">
            <v>36.1</v>
          </cell>
        </row>
        <row r="365">
          <cell r="C365" t="str">
            <v>Control</v>
          </cell>
          <cell r="D365" t="str">
            <v>South</v>
          </cell>
          <cell r="H365">
            <v>1</v>
          </cell>
          <cell r="I365">
            <v>1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P365">
            <v>70.400000000000006</v>
          </cell>
        </row>
        <row r="366">
          <cell r="C366" t="str">
            <v>Control</v>
          </cell>
          <cell r="D366" t="str">
            <v>East</v>
          </cell>
          <cell r="H366">
            <v>1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P366">
            <v>56.4</v>
          </cell>
        </row>
        <row r="367">
          <cell r="C367" t="str">
            <v>Control</v>
          </cell>
          <cell r="D367" t="str">
            <v>South</v>
          </cell>
          <cell r="H367">
            <v>1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P367">
            <v>79.2</v>
          </cell>
        </row>
        <row r="368">
          <cell r="C368" t="str">
            <v>Control</v>
          </cell>
          <cell r="D368" t="str">
            <v>East</v>
          </cell>
          <cell r="H368">
            <v>1</v>
          </cell>
          <cell r="I368">
            <v>1</v>
          </cell>
          <cell r="J368">
            <v>1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P368">
            <v>60.1</v>
          </cell>
        </row>
        <row r="369">
          <cell r="C369" t="str">
            <v>Control</v>
          </cell>
          <cell r="D369" t="str">
            <v>South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P369">
            <v>58</v>
          </cell>
        </row>
        <row r="370">
          <cell r="C370" t="str">
            <v>Control</v>
          </cell>
          <cell r="D370" t="str">
            <v>South</v>
          </cell>
          <cell r="H370">
            <v>1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P370">
            <v>69</v>
          </cell>
        </row>
        <row r="371">
          <cell r="C371" t="str">
            <v>Control</v>
          </cell>
          <cell r="D371" t="str">
            <v>North</v>
          </cell>
          <cell r="H371">
            <v>1</v>
          </cell>
          <cell r="I371">
            <v>1</v>
          </cell>
          <cell r="J371">
            <v>1</v>
          </cell>
          <cell r="K371">
            <v>0</v>
          </cell>
          <cell r="L371">
            <v>0</v>
          </cell>
          <cell r="M371">
            <v>1</v>
          </cell>
          <cell r="N371">
            <v>0</v>
          </cell>
          <cell r="P371">
            <v>80.8</v>
          </cell>
        </row>
        <row r="372">
          <cell r="C372" t="str">
            <v>Control</v>
          </cell>
          <cell r="D372" t="str">
            <v>East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P372">
            <v>32.799999999999997</v>
          </cell>
        </row>
        <row r="373">
          <cell r="C373" t="str">
            <v>Control</v>
          </cell>
          <cell r="D373" t="str">
            <v>North</v>
          </cell>
          <cell r="H373">
            <v>1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P373">
            <v>56</v>
          </cell>
        </row>
        <row r="374">
          <cell r="C374" t="str">
            <v>Control</v>
          </cell>
          <cell r="D374" t="str">
            <v>East</v>
          </cell>
          <cell r="H374">
            <v>1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P374">
            <v>76.400000000000006</v>
          </cell>
        </row>
        <row r="375">
          <cell r="C375" t="str">
            <v>Control</v>
          </cell>
          <cell r="D375" t="str">
            <v>North</v>
          </cell>
          <cell r="H375">
            <v>1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P375">
            <v>28.5</v>
          </cell>
        </row>
        <row r="376">
          <cell r="C376" t="str">
            <v>Control</v>
          </cell>
          <cell r="D376" t="str">
            <v>South</v>
          </cell>
          <cell r="H376">
            <v>1</v>
          </cell>
          <cell r="I376">
            <v>1</v>
          </cell>
          <cell r="J376">
            <v>1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P376">
            <v>48.3</v>
          </cell>
        </row>
        <row r="377">
          <cell r="C377" t="str">
            <v>Control</v>
          </cell>
          <cell r="D377" t="str">
            <v>West</v>
          </cell>
          <cell r="H377">
            <v>1</v>
          </cell>
          <cell r="I377">
            <v>1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P377">
            <v>43.4</v>
          </cell>
        </row>
        <row r="378">
          <cell r="C378" t="str">
            <v>Control</v>
          </cell>
          <cell r="D378" t="str">
            <v>North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P378">
            <v>43</v>
          </cell>
        </row>
        <row r="379">
          <cell r="C379" t="str">
            <v>Control</v>
          </cell>
          <cell r="D379" t="str">
            <v>East</v>
          </cell>
          <cell r="H379">
            <v>1</v>
          </cell>
          <cell r="I379">
            <v>1</v>
          </cell>
          <cell r="J379">
            <v>1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P379">
            <v>91.8</v>
          </cell>
        </row>
        <row r="380">
          <cell r="C380" t="str">
            <v>Control</v>
          </cell>
          <cell r="D380" t="str">
            <v>West</v>
          </cell>
          <cell r="H380">
            <v>1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1</v>
          </cell>
          <cell r="N380">
            <v>0</v>
          </cell>
          <cell r="P380">
            <v>69.3</v>
          </cell>
        </row>
        <row r="381">
          <cell r="C381" t="str">
            <v>Control</v>
          </cell>
          <cell r="D381" t="str">
            <v>South</v>
          </cell>
          <cell r="H381">
            <v>1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P381">
            <v>58.9</v>
          </cell>
        </row>
        <row r="382">
          <cell r="C382" t="str">
            <v>Control</v>
          </cell>
          <cell r="D382" t="str">
            <v>West</v>
          </cell>
          <cell r="H382">
            <v>1</v>
          </cell>
          <cell r="I382">
            <v>1</v>
          </cell>
          <cell r="J382">
            <v>1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P382">
            <v>76</v>
          </cell>
        </row>
        <row r="383">
          <cell r="C383" t="str">
            <v>Control</v>
          </cell>
          <cell r="D383" t="str">
            <v>South</v>
          </cell>
          <cell r="H383">
            <v>1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P383">
            <v>46</v>
          </cell>
        </row>
        <row r="384">
          <cell r="C384" t="str">
            <v>Control</v>
          </cell>
          <cell r="D384" t="str">
            <v>East</v>
          </cell>
          <cell r="H384">
            <v>1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P384">
            <v>54.1</v>
          </cell>
        </row>
        <row r="385">
          <cell r="C385" t="str">
            <v>Control</v>
          </cell>
          <cell r="D385" t="str">
            <v>West</v>
          </cell>
          <cell r="H385">
            <v>1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P385">
            <v>82.4</v>
          </cell>
        </row>
        <row r="386">
          <cell r="C386" t="str">
            <v>Control</v>
          </cell>
          <cell r="D386" t="str">
            <v>South</v>
          </cell>
          <cell r="H386">
            <v>1</v>
          </cell>
          <cell r="I386">
            <v>1</v>
          </cell>
          <cell r="J386">
            <v>1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P386">
            <v>71.900000000000006</v>
          </cell>
        </row>
        <row r="387">
          <cell r="C387" t="str">
            <v>Control</v>
          </cell>
          <cell r="D387" t="str">
            <v>East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2</v>
          </cell>
          <cell r="N387">
            <v>0</v>
          </cell>
          <cell r="P387">
            <v>38</v>
          </cell>
        </row>
        <row r="388">
          <cell r="C388" t="str">
            <v>Control</v>
          </cell>
          <cell r="D388" t="str">
            <v>East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P388">
            <v>43.7</v>
          </cell>
        </row>
        <row r="389">
          <cell r="C389" t="str">
            <v>Control</v>
          </cell>
          <cell r="D389" t="str">
            <v>West</v>
          </cell>
          <cell r="H389">
            <v>1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1</v>
          </cell>
          <cell r="N389">
            <v>0</v>
          </cell>
          <cell r="P389">
            <v>32.200000000000003</v>
          </cell>
        </row>
        <row r="390">
          <cell r="C390" t="str">
            <v>Control</v>
          </cell>
          <cell r="D390" t="str">
            <v>South</v>
          </cell>
          <cell r="H390">
            <v>1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P390">
            <v>61</v>
          </cell>
        </row>
        <row r="391">
          <cell r="C391" t="str">
            <v>Control</v>
          </cell>
          <cell r="D391" t="str">
            <v>South</v>
          </cell>
          <cell r="H391">
            <v>1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P391">
            <v>49</v>
          </cell>
        </row>
        <row r="392">
          <cell r="C392" t="str">
            <v>Control</v>
          </cell>
          <cell r="D392" t="str">
            <v>East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P392">
            <v>48.1</v>
          </cell>
        </row>
        <row r="393">
          <cell r="C393" t="str">
            <v>Control</v>
          </cell>
          <cell r="D393" t="str">
            <v>South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2</v>
          </cell>
          <cell r="N393">
            <v>0</v>
          </cell>
          <cell r="P393">
            <v>46.3</v>
          </cell>
        </row>
        <row r="394">
          <cell r="C394" t="str">
            <v>Control</v>
          </cell>
          <cell r="D394" t="str">
            <v>North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P394">
            <v>64</v>
          </cell>
        </row>
        <row r="395">
          <cell r="C395" t="str">
            <v>Control</v>
          </cell>
          <cell r="D395" t="str">
            <v>West</v>
          </cell>
          <cell r="H395">
            <v>1</v>
          </cell>
          <cell r="I395">
            <v>1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P395">
            <v>56.2</v>
          </cell>
        </row>
        <row r="396">
          <cell r="C396" t="str">
            <v>Control</v>
          </cell>
          <cell r="D396" t="str">
            <v>North</v>
          </cell>
          <cell r="H396">
            <v>1</v>
          </cell>
          <cell r="I396">
            <v>1</v>
          </cell>
          <cell r="J396">
            <v>1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P396">
            <v>77.5</v>
          </cell>
        </row>
        <row r="397">
          <cell r="C397" t="str">
            <v>Control</v>
          </cell>
          <cell r="D397" t="str">
            <v>South</v>
          </cell>
          <cell r="H397">
            <v>1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P397">
            <v>59.9</v>
          </cell>
        </row>
        <row r="398">
          <cell r="C398" t="str">
            <v>Control</v>
          </cell>
          <cell r="D398" t="str">
            <v>South</v>
          </cell>
          <cell r="H398">
            <v>1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P398">
            <v>63</v>
          </cell>
        </row>
        <row r="399">
          <cell r="C399" t="str">
            <v>Control</v>
          </cell>
          <cell r="D399" t="str">
            <v>South</v>
          </cell>
          <cell r="H399">
            <v>1</v>
          </cell>
          <cell r="I399">
            <v>1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P399">
            <v>76.5</v>
          </cell>
        </row>
        <row r="400">
          <cell r="C400" t="str">
            <v>Control</v>
          </cell>
          <cell r="D400" t="str">
            <v>North</v>
          </cell>
          <cell r="H400">
            <v>1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P400">
            <v>39.700000000000003</v>
          </cell>
        </row>
        <row r="401">
          <cell r="C401" t="str">
            <v>Control</v>
          </cell>
          <cell r="D401" t="str">
            <v>North</v>
          </cell>
          <cell r="H401">
            <v>1</v>
          </cell>
          <cell r="I401">
            <v>1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P401">
            <v>80.2</v>
          </cell>
        </row>
        <row r="402">
          <cell r="C402" t="str">
            <v>Control</v>
          </cell>
          <cell r="D402" t="str">
            <v>West</v>
          </cell>
          <cell r="H402">
            <v>1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P402">
            <v>72.2</v>
          </cell>
        </row>
        <row r="403">
          <cell r="C403" t="str">
            <v>Control</v>
          </cell>
          <cell r="D403" t="str">
            <v>North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P403">
            <v>56</v>
          </cell>
        </row>
        <row r="404">
          <cell r="C404" t="str">
            <v>Control</v>
          </cell>
          <cell r="D404" t="str">
            <v>West</v>
          </cell>
          <cell r="H404">
            <v>1</v>
          </cell>
          <cell r="I404">
            <v>1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P404">
            <v>69.099999999999994</v>
          </cell>
        </row>
        <row r="405">
          <cell r="C405" t="str">
            <v>Control</v>
          </cell>
          <cell r="D405" t="str">
            <v>North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1</v>
          </cell>
          <cell r="N405">
            <v>0</v>
          </cell>
          <cell r="P405">
            <v>70.599999999999994</v>
          </cell>
        </row>
        <row r="406">
          <cell r="C406" t="str">
            <v>Control</v>
          </cell>
          <cell r="D406" t="str">
            <v>West</v>
          </cell>
          <cell r="H406">
            <v>1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P406">
            <v>57.9</v>
          </cell>
        </row>
        <row r="407">
          <cell r="C407" t="str">
            <v>Control</v>
          </cell>
          <cell r="D407" t="str">
            <v>East</v>
          </cell>
          <cell r="H407">
            <v>1</v>
          </cell>
          <cell r="I407">
            <v>1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P407">
            <v>41.4</v>
          </cell>
        </row>
        <row r="408">
          <cell r="C408" t="str">
            <v>Control</v>
          </cell>
          <cell r="D408" t="str">
            <v>West</v>
          </cell>
          <cell r="H408">
            <v>1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P408">
            <v>60.9</v>
          </cell>
        </row>
        <row r="409">
          <cell r="C409" t="str">
            <v>Control</v>
          </cell>
          <cell r="D409" t="str">
            <v>South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1</v>
          </cell>
          <cell r="N409">
            <v>0</v>
          </cell>
          <cell r="P409">
            <v>63.8</v>
          </cell>
        </row>
        <row r="410">
          <cell r="C410" t="str">
            <v>Control</v>
          </cell>
          <cell r="D410" t="str">
            <v>North</v>
          </cell>
          <cell r="H410">
            <v>1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P410">
            <v>79.2</v>
          </cell>
        </row>
        <row r="411">
          <cell r="C411" t="str">
            <v>Control</v>
          </cell>
          <cell r="D411" t="str">
            <v>West</v>
          </cell>
          <cell r="H411">
            <v>1</v>
          </cell>
          <cell r="I411">
            <v>1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P411">
            <v>53.3</v>
          </cell>
        </row>
        <row r="412">
          <cell r="C412" t="str">
            <v>Control</v>
          </cell>
          <cell r="D412" t="str">
            <v>North</v>
          </cell>
          <cell r="H412">
            <v>1</v>
          </cell>
          <cell r="I412">
            <v>1</v>
          </cell>
          <cell r="J412">
            <v>1</v>
          </cell>
          <cell r="K412">
            <v>1</v>
          </cell>
          <cell r="L412">
            <v>2144.8200000000002</v>
          </cell>
          <cell r="M412">
            <v>0</v>
          </cell>
          <cell r="N412">
            <v>0</v>
          </cell>
          <cell r="O412">
            <v>6</v>
          </cell>
          <cell r="P412">
            <v>52.3</v>
          </cell>
        </row>
        <row r="413">
          <cell r="C413" t="str">
            <v>Control</v>
          </cell>
          <cell r="D413" t="str">
            <v>West</v>
          </cell>
          <cell r="H413">
            <v>1</v>
          </cell>
          <cell r="I413">
            <v>1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P413">
            <v>62.4</v>
          </cell>
        </row>
        <row r="414">
          <cell r="C414" t="str">
            <v>Control</v>
          </cell>
          <cell r="D414" t="str">
            <v>North</v>
          </cell>
          <cell r="H414">
            <v>1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P414">
            <v>45.5</v>
          </cell>
        </row>
        <row r="415">
          <cell r="C415" t="str">
            <v>Control</v>
          </cell>
          <cell r="D415" t="str">
            <v>East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1</v>
          </cell>
          <cell r="N415">
            <v>0</v>
          </cell>
          <cell r="P415">
            <v>72.599999999999994</v>
          </cell>
        </row>
        <row r="416">
          <cell r="C416" t="str">
            <v>Control</v>
          </cell>
          <cell r="D416" t="str">
            <v>South</v>
          </cell>
          <cell r="H416">
            <v>1</v>
          </cell>
          <cell r="I416">
            <v>1</v>
          </cell>
          <cell r="J416">
            <v>1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P416">
            <v>50.1</v>
          </cell>
        </row>
        <row r="417">
          <cell r="C417" t="str">
            <v>Control</v>
          </cell>
          <cell r="D417" t="str">
            <v>East</v>
          </cell>
          <cell r="H417">
            <v>1</v>
          </cell>
          <cell r="I417">
            <v>1</v>
          </cell>
          <cell r="J417">
            <v>1</v>
          </cell>
          <cell r="K417">
            <v>0</v>
          </cell>
          <cell r="L417">
            <v>0</v>
          </cell>
          <cell r="M417">
            <v>2</v>
          </cell>
          <cell r="N417">
            <v>0</v>
          </cell>
          <cell r="P417">
            <v>58.1</v>
          </cell>
        </row>
        <row r="418">
          <cell r="C418" t="str">
            <v>Control</v>
          </cell>
          <cell r="D418" t="str">
            <v>East</v>
          </cell>
          <cell r="H418">
            <v>1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P418">
            <v>42.9</v>
          </cell>
        </row>
        <row r="419">
          <cell r="C419" t="str">
            <v>Control</v>
          </cell>
          <cell r="D419" t="str">
            <v>North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P419">
            <v>69.7</v>
          </cell>
        </row>
        <row r="420">
          <cell r="C420" t="str">
            <v>Control</v>
          </cell>
          <cell r="D420" t="str">
            <v>North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P420">
            <v>63.3</v>
          </cell>
        </row>
        <row r="421">
          <cell r="C421" t="str">
            <v>Control</v>
          </cell>
          <cell r="D421" t="str">
            <v>North</v>
          </cell>
          <cell r="H421">
            <v>1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P421">
            <v>71.2</v>
          </cell>
        </row>
        <row r="422">
          <cell r="C422" t="str">
            <v>Control</v>
          </cell>
          <cell r="D422" t="str">
            <v>South</v>
          </cell>
          <cell r="H422">
            <v>1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P422">
            <v>39.1</v>
          </cell>
        </row>
        <row r="423">
          <cell r="C423" t="str">
            <v>Control</v>
          </cell>
          <cell r="D423" t="str">
            <v>East</v>
          </cell>
          <cell r="H423">
            <v>1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P423">
            <v>42.6</v>
          </cell>
        </row>
        <row r="424">
          <cell r="C424" t="str">
            <v>Control</v>
          </cell>
          <cell r="D424" t="str">
            <v>South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P424">
            <v>74.400000000000006</v>
          </cell>
        </row>
        <row r="425">
          <cell r="C425" t="str">
            <v>Control</v>
          </cell>
          <cell r="D425" t="str">
            <v>West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P425">
            <v>55.6</v>
          </cell>
        </row>
        <row r="426">
          <cell r="C426" t="str">
            <v>Control</v>
          </cell>
          <cell r="D426" t="str">
            <v>West</v>
          </cell>
          <cell r="H426">
            <v>1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P426">
            <v>35.799999999999997</v>
          </cell>
        </row>
        <row r="427">
          <cell r="C427" t="str">
            <v>Control</v>
          </cell>
          <cell r="D427" t="str">
            <v>North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1</v>
          </cell>
          <cell r="N427">
            <v>0</v>
          </cell>
          <cell r="P427">
            <v>28.2</v>
          </cell>
        </row>
        <row r="428">
          <cell r="C428" t="str">
            <v>Control</v>
          </cell>
          <cell r="D428" t="str">
            <v>East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2</v>
          </cell>
          <cell r="N428">
            <v>0</v>
          </cell>
          <cell r="P428">
            <v>44.4</v>
          </cell>
        </row>
        <row r="429">
          <cell r="C429" t="str">
            <v>Control</v>
          </cell>
          <cell r="D429" t="str">
            <v>North</v>
          </cell>
          <cell r="H429">
            <v>1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P429">
            <v>49.9</v>
          </cell>
        </row>
        <row r="430">
          <cell r="C430" t="str">
            <v>Control</v>
          </cell>
          <cell r="D430" t="str">
            <v>South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P430">
            <v>40.4</v>
          </cell>
        </row>
        <row r="431">
          <cell r="C431" t="str">
            <v>Control</v>
          </cell>
          <cell r="D431" t="str">
            <v>West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P431">
            <v>60.4</v>
          </cell>
        </row>
        <row r="432">
          <cell r="C432" t="str">
            <v>Control</v>
          </cell>
          <cell r="D432" t="str">
            <v>West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1</v>
          </cell>
          <cell r="N432">
            <v>0</v>
          </cell>
          <cell r="P432">
            <v>52.4</v>
          </cell>
        </row>
        <row r="433">
          <cell r="C433" t="str">
            <v>Control</v>
          </cell>
          <cell r="D433" t="str">
            <v>South</v>
          </cell>
          <cell r="H433">
            <v>1</v>
          </cell>
          <cell r="I433">
            <v>1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P433">
            <v>48.8</v>
          </cell>
        </row>
        <row r="434">
          <cell r="C434" t="str">
            <v>Control</v>
          </cell>
          <cell r="D434" t="str">
            <v>North</v>
          </cell>
          <cell r="H434">
            <v>1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P434">
            <v>60.9</v>
          </cell>
        </row>
        <row r="435">
          <cell r="C435" t="str">
            <v>Control</v>
          </cell>
          <cell r="D435" t="str">
            <v>South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P435">
            <v>68.2</v>
          </cell>
        </row>
        <row r="436">
          <cell r="C436" t="str">
            <v>Control</v>
          </cell>
          <cell r="D436" t="str">
            <v>North</v>
          </cell>
          <cell r="H436">
            <v>1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P436">
            <v>65.599999999999994</v>
          </cell>
        </row>
        <row r="437">
          <cell r="C437" t="str">
            <v>Control</v>
          </cell>
          <cell r="D437" t="str">
            <v>North</v>
          </cell>
          <cell r="H437">
            <v>1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P437">
            <v>65.400000000000006</v>
          </cell>
        </row>
        <row r="438">
          <cell r="C438" t="str">
            <v>Control</v>
          </cell>
          <cell r="D438" t="str">
            <v>West</v>
          </cell>
          <cell r="H438">
            <v>1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P438">
            <v>78.900000000000006</v>
          </cell>
        </row>
        <row r="439">
          <cell r="C439" t="str">
            <v>Control</v>
          </cell>
          <cell r="D439" t="str">
            <v>East</v>
          </cell>
          <cell r="H439">
            <v>1</v>
          </cell>
          <cell r="I439">
            <v>1</v>
          </cell>
          <cell r="J439">
            <v>1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P439">
            <v>78.3</v>
          </cell>
        </row>
        <row r="440">
          <cell r="C440" t="str">
            <v>Control</v>
          </cell>
          <cell r="D440" t="str">
            <v>West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P440">
            <v>49.2</v>
          </cell>
        </row>
        <row r="441">
          <cell r="C441" t="str">
            <v>Control</v>
          </cell>
          <cell r="D441" t="str">
            <v>East</v>
          </cell>
          <cell r="H441">
            <v>1</v>
          </cell>
          <cell r="I441">
            <v>1</v>
          </cell>
          <cell r="J441">
            <v>1</v>
          </cell>
          <cell r="K441">
            <v>1</v>
          </cell>
          <cell r="L441">
            <v>1518.83</v>
          </cell>
          <cell r="M441">
            <v>0</v>
          </cell>
          <cell r="N441">
            <v>0</v>
          </cell>
          <cell r="O441">
            <v>9</v>
          </cell>
          <cell r="P441">
            <v>32.200000000000003</v>
          </cell>
        </row>
        <row r="442">
          <cell r="C442" t="str">
            <v>Control</v>
          </cell>
          <cell r="D442" t="str">
            <v>North</v>
          </cell>
          <cell r="H442">
            <v>1</v>
          </cell>
          <cell r="I442">
            <v>1</v>
          </cell>
          <cell r="J442">
            <v>1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P442">
            <v>46.3</v>
          </cell>
        </row>
        <row r="443">
          <cell r="C443" t="str">
            <v>Control</v>
          </cell>
          <cell r="D443" t="str">
            <v>East</v>
          </cell>
          <cell r="H443">
            <v>1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P443">
            <v>55.7</v>
          </cell>
        </row>
        <row r="444">
          <cell r="C444" t="str">
            <v>Control</v>
          </cell>
          <cell r="D444" t="str">
            <v>South</v>
          </cell>
          <cell r="H444">
            <v>1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P444">
            <v>44.5</v>
          </cell>
        </row>
        <row r="445">
          <cell r="C445" t="str">
            <v>Control</v>
          </cell>
          <cell r="D445" t="str">
            <v>West</v>
          </cell>
          <cell r="H445">
            <v>1</v>
          </cell>
          <cell r="I445">
            <v>1</v>
          </cell>
          <cell r="J445">
            <v>1</v>
          </cell>
          <cell r="K445">
            <v>0</v>
          </cell>
          <cell r="L445">
            <v>0</v>
          </cell>
          <cell r="M445">
            <v>1</v>
          </cell>
          <cell r="N445">
            <v>0</v>
          </cell>
          <cell r="P445">
            <v>47.9</v>
          </cell>
        </row>
        <row r="446">
          <cell r="C446" t="str">
            <v>Control</v>
          </cell>
          <cell r="D446" t="str">
            <v>South</v>
          </cell>
          <cell r="H446">
            <v>1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P446">
            <v>43.9</v>
          </cell>
        </row>
        <row r="447">
          <cell r="C447" t="str">
            <v>Control</v>
          </cell>
          <cell r="D447" t="str">
            <v>North</v>
          </cell>
          <cell r="H447">
            <v>1</v>
          </cell>
          <cell r="I447">
            <v>1</v>
          </cell>
          <cell r="J447">
            <v>1</v>
          </cell>
          <cell r="K447">
            <v>0</v>
          </cell>
          <cell r="L447">
            <v>0</v>
          </cell>
          <cell r="M447">
            <v>1</v>
          </cell>
          <cell r="N447">
            <v>0</v>
          </cell>
          <cell r="P447">
            <v>67.7</v>
          </cell>
        </row>
        <row r="448">
          <cell r="C448" t="str">
            <v>Control</v>
          </cell>
          <cell r="D448" t="str">
            <v>East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P448">
            <v>43.7</v>
          </cell>
        </row>
        <row r="449">
          <cell r="C449" t="str">
            <v>Control</v>
          </cell>
          <cell r="D449" t="str">
            <v>East</v>
          </cell>
          <cell r="H449">
            <v>1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P449">
            <v>68.8</v>
          </cell>
        </row>
        <row r="450">
          <cell r="C450" t="str">
            <v>Control</v>
          </cell>
          <cell r="D450" t="str">
            <v>West</v>
          </cell>
          <cell r="H450">
            <v>1</v>
          </cell>
          <cell r="I450">
            <v>1</v>
          </cell>
          <cell r="J450">
            <v>1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P450">
            <v>59.2</v>
          </cell>
        </row>
        <row r="451">
          <cell r="C451" t="str">
            <v>Control</v>
          </cell>
          <cell r="D451" t="str">
            <v>East</v>
          </cell>
          <cell r="H451">
            <v>1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P451">
            <v>48.6</v>
          </cell>
        </row>
        <row r="452">
          <cell r="C452" t="str">
            <v>Control</v>
          </cell>
          <cell r="D452" t="str">
            <v>North</v>
          </cell>
          <cell r="H452">
            <v>1</v>
          </cell>
          <cell r="I452">
            <v>1</v>
          </cell>
          <cell r="J452">
            <v>1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P452">
            <v>56.9</v>
          </cell>
        </row>
        <row r="453">
          <cell r="C453" t="str">
            <v>Control</v>
          </cell>
          <cell r="D453" t="str">
            <v>North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P453">
            <v>55.8</v>
          </cell>
        </row>
        <row r="454">
          <cell r="C454" t="str">
            <v>Control</v>
          </cell>
          <cell r="D454" t="str">
            <v>East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P454">
            <v>63.3</v>
          </cell>
        </row>
        <row r="455">
          <cell r="C455" t="str">
            <v>Control</v>
          </cell>
          <cell r="D455" t="str">
            <v>North</v>
          </cell>
          <cell r="H455">
            <v>1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P455">
            <v>52.2</v>
          </cell>
        </row>
        <row r="456">
          <cell r="C456" t="str">
            <v>Control</v>
          </cell>
          <cell r="D456" t="str">
            <v>South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P456">
            <v>51.5</v>
          </cell>
        </row>
        <row r="457">
          <cell r="C457" t="str">
            <v>Control</v>
          </cell>
          <cell r="D457" t="str">
            <v>East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P457">
            <v>50.3</v>
          </cell>
        </row>
        <row r="458">
          <cell r="C458" t="str">
            <v>Control</v>
          </cell>
          <cell r="D458" t="str">
            <v>North</v>
          </cell>
          <cell r="H458">
            <v>1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1</v>
          </cell>
          <cell r="N458">
            <v>0</v>
          </cell>
          <cell r="P458">
            <v>35.4</v>
          </cell>
        </row>
        <row r="459">
          <cell r="C459" t="str">
            <v>Control</v>
          </cell>
          <cell r="D459" t="str">
            <v>West</v>
          </cell>
          <cell r="H459">
            <v>1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1</v>
          </cell>
          <cell r="N459">
            <v>0</v>
          </cell>
          <cell r="P459">
            <v>54.1</v>
          </cell>
        </row>
        <row r="460">
          <cell r="C460" t="str">
            <v>Control</v>
          </cell>
          <cell r="D460" t="str">
            <v>South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P460">
            <v>56.2</v>
          </cell>
        </row>
        <row r="461">
          <cell r="C461" t="str">
            <v>Control</v>
          </cell>
          <cell r="D461" t="str">
            <v>South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3</v>
          </cell>
          <cell r="N461">
            <v>0</v>
          </cell>
          <cell r="P461">
            <v>43.7</v>
          </cell>
        </row>
        <row r="462">
          <cell r="C462" t="str">
            <v>Control</v>
          </cell>
          <cell r="D462" t="str">
            <v>West</v>
          </cell>
          <cell r="H462">
            <v>1</v>
          </cell>
          <cell r="I462">
            <v>1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P462">
            <v>51.3</v>
          </cell>
        </row>
        <row r="463">
          <cell r="C463" t="str">
            <v>Control</v>
          </cell>
          <cell r="D463" t="str">
            <v>North</v>
          </cell>
          <cell r="H463">
            <v>1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P463">
            <v>50.5</v>
          </cell>
        </row>
        <row r="464">
          <cell r="C464" t="str">
            <v>Control</v>
          </cell>
          <cell r="D464" t="str">
            <v>North</v>
          </cell>
          <cell r="H464">
            <v>1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P464">
            <v>57.3</v>
          </cell>
        </row>
        <row r="465">
          <cell r="C465" t="str">
            <v>Control</v>
          </cell>
          <cell r="D465" t="str">
            <v>West</v>
          </cell>
          <cell r="H465">
            <v>1</v>
          </cell>
          <cell r="I465">
            <v>1</v>
          </cell>
          <cell r="J465">
            <v>1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P465">
            <v>58.4</v>
          </cell>
        </row>
        <row r="466">
          <cell r="C466" t="str">
            <v>Control</v>
          </cell>
          <cell r="D466" t="str">
            <v>North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P466">
            <v>56.5</v>
          </cell>
        </row>
        <row r="467">
          <cell r="C467" t="str">
            <v>Control</v>
          </cell>
          <cell r="D467" t="str">
            <v>West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P467">
            <v>69.599999999999994</v>
          </cell>
        </row>
        <row r="468">
          <cell r="C468" t="str">
            <v>Control</v>
          </cell>
          <cell r="D468" t="str">
            <v>West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P468">
            <v>6.2</v>
          </cell>
        </row>
        <row r="469">
          <cell r="C469" t="str">
            <v>Control</v>
          </cell>
          <cell r="D469" t="str">
            <v>East</v>
          </cell>
          <cell r="H469">
            <v>1</v>
          </cell>
          <cell r="I469">
            <v>1</v>
          </cell>
          <cell r="J469">
            <v>1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P469">
            <v>54.3</v>
          </cell>
        </row>
        <row r="470">
          <cell r="C470" t="str">
            <v>Control</v>
          </cell>
          <cell r="D470" t="str">
            <v>North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P470">
            <v>59.8</v>
          </cell>
        </row>
        <row r="471">
          <cell r="C471" t="str">
            <v>Control</v>
          </cell>
          <cell r="D471" t="str">
            <v>West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P471">
            <v>58.9</v>
          </cell>
        </row>
        <row r="472">
          <cell r="C472" t="str">
            <v>Control</v>
          </cell>
          <cell r="D472" t="str">
            <v>East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1</v>
          </cell>
          <cell r="N472">
            <v>0</v>
          </cell>
          <cell r="P472">
            <v>52.9</v>
          </cell>
        </row>
        <row r="473">
          <cell r="C473" t="str">
            <v>Control</v>
          </cell>
          <cell r="D473" t="str">
            <v>West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P473">
            <v>67.8</v>
          </cell>
        </row>
        <row r="474">
          <cell r="C474" t="str">
            <v>Control</v>
          </cell>
          <cell r="D474" t="str">
            <v>South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P474">
            <v>48.7</v>
          </cell>
        </row>
        <row r="475">
          <cell r="C475" t="str">
            <v>Control</v>
          </cell>
          <cell r="D475" t="str">
            <v>East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P475">
            <v>59</v>
          </cell>
        </row>
        <row r="476">
          <cell r="C476" t="str">
            <v>Control</v>
          </cell>
          <cell r="D476" t="str">
            <v>South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P476">
            <v>63.2</v>
          </cell>
        </row>
        <row r="477">
          <cell r="C477" t="str">
            <v>Control</v>
          </cell>
          <cell r="D477" t="str">
            <v>West</v>
          </cell>
          <cell r="H477">
            <v>1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P477">
            <v>68.7</v>
          </cell>
        </row>
        <row r="478">
          <cell r="C478" t="str">
            <v>Control</v>
          </cell>
          <cell r="D478" t="str">
            <v>South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P478">
            <v>52.1</v>
          </cell>
        </row>
        <row r="479">
          <cell r="C479" t="str">
            <v>Control</v>
          </cell>
          <cell r="D479" t="str">
            <v>South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P479">
            <v>56.5</v>
          </cell>
        </row>
        <row r="480">
          <cell r="C480" t="str">
            <v>Control</v>
          </cell>
          <cell r="D480" t="str">
            <v>South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P480">
            <v>64.400000000000006</v>
          </cell>
        </row>
        <row r="481">
          <cell r="C481" t="str">
            <v>Control</v>
          </cell>
          <cell r="D481" t="str">
            <v>West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P481">
            <v>65.900000000000006</v>
          </cell>
        </row>
        <row r="482">
          <cell r="C482" t="str">
            <v>Control</v>
          </cell>
          <cell r="D482" t="str">
            <v>West</v>
          </cell>
          <cell r="H482">
            <v>1</v>
          </cell>
          <cell r="I482">
            <v>1</v>
          </cell>
          <cell r="J482">
            <v>1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P482">
            <v>100</v>
          </cell>
        </row>
        <row r="483">
          <cell r="C483" t="str">
            <v>Control</v>
          </cell>
          <cell r="D483" t="str">
            <v>North</v>
          </cell>
          <cell r="H483">
            <v>1</v>
          </cell>
          <cell r="I483">
            <v>1</v>
          </cell>
          <cell r="J483">
            <v>1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P483">
            <v>50.4</v>
          </cell>
        </row>
        <row r="484">
          <cell r="C484" t="str">
            <v>Control</v>
          </cell>
          <cell r="D484" t="str">
            <v>West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P484">
            <v>41.5</v>
          </cell>
        </row>
        <row r="485">
          <cell r="C485" t="str">
            <v>Control</v>
          </cell>
          <cell r="D485" t="str">
            <v>North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P485">
            <v>86.2</v>
          </cell>
        </row>
        <row r="486">
          <cell r="C486" t="str">
            <v>Control</v>
          </cell>
          <cell r="D486" t="str">
            <v>North</v>
          </cell>
          <cell r="H486">
            <v>1</v>
          </cell>
          <cell r="I486">
            <v>1</v>
          </cell>
          <cell r="J486">
            <v>1</v>
          </cell>
          <cell r="K486">
            <v>0</v>
          </cell>
          <cell r="L486">
            <v>0</v>
          </cell>
          <cell r="M486">
            <v>2</v>
          </cell>
          <cell r="N486">
            <v>0</v>
          </cell>
          <cell r="P486">
            <v>50.8</v>
          </cell>
        </row>
        <row r="487">
          <cell r="C487" t="str">
            <v>Control</v>
          </cell>
          <cell r="D487" t="str">
            <v>West</v>
          </cell>
          <cell r="H487">
            <v>1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P487">
            <v>50.9</v>
          </cell>
        </row>
        <row r="488">
          <cell r="C488" t="str">
            <v>Control</v>
          </cell>
          <cell r="D488" t="str">
            <v>North</v>
          </cell>
          <cell r="H488">
            <v>1</v>
          </cell>
          <cell r="I488">
            <v>1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P488">
            <v>87.5</v>
          </cell>
        </row>
        <row r="489">
          <cell r="C489" t="str">
            <v>Control</v>
          </cell>
          <cell r="D489" t="str">
            <v>South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P489">
            <v>43.6</v>
          </cell>
        </row>
        <row r="490">
          <cell r="C490" t="str">
            <v>Control</v>
          </cell>
          <cell r="D490" t="str">
            <v>South</v>
          </cell>
          <cell r="H490">
            <v>1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P490">
            <v>55.5</v>
          </cell>
        </row>
        <row r="491">
          <cell r="C491" t="str">
            <v>Control</v>
          </cell>
          <cell r="D491" t="str">
            <v>South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P491">
            <v>78.599999999999994</v>
          </cell>
        </row>
        <row r="492">
          <cell r="C492" t="str">
            <v>Control</v>
          </cell>
          <cell r="D492" t="str">
            <v>South</v>
          </cell>
          <cell r="H492">
            <v>1</v>
          </cell>
          <cell r="I492">
            <v>1</v>
          </cell>
          <cell r="J492">
            <v>0</v>
          </cell>
          <cell r="K492">
            <v>0</v>
          </cell>
          <cell r="L492">
            <v>0</v>
          </cell>
          <cell r="M492">
            <v>1</v>
          </cell>
          <cell r="N492">
            <v>0</v>
          </cell>
          <cell r="P492">
            <v>44.3</v>
          </cell>
        </row>
        <row r="493">
          <cell r="C493" t="str">
            <v>Control</v>
          </cell>
          <cell r="D493" t="str">
            <v>South</v>
          </cell>
          <cell r="H493">
            <v>1</v>
          </cell>
          <cell r="I493">
            <v>1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P493">
            <v>45.2</v>
          </cell>
        </row>
        <row r="494">
          <cell r="C494" t="str">
            <v>Control</v>
          </cell>
          <cell r="D494" t="str">
            <v>South</v>
          </cell>
          <cell r="H494">
            <v>1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2</v>
          </cell>
          <cell r="N494">
            <v>0</v>
          </cell>
          <cell r="P494">
            <v>46.1</v>
          </cell>
        </row>
        <row r="495">
          <cell r="C495" t="str">
            <v>Control</v>
          </cell>
          <cell r="D495" t="str">
            <v>North</v>
          </cell>
          <cell r="H495">
            <v>1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P495">
            <v>49.6</v>
          </cell>
        </row>
        <row r="496">
          <cell r="C496" t="str">
            <v>Control</v>
          </cell>
          <cell r="D496" t="str">
            <v>South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P496">
            <v>70.5</v>
          </cell>
        </row>
        <row r="497">
          <cell r="C497" t="str">
            <v>Control</v>
          </cell>
          <cell r="D497" t="str">
            <v>South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1</v>
          </cell>
          <cell r="N497">
            <v>0</v>
          </cell>
          <cell r="P497">
            <v>60.8</v>
          </cell>
        </row>
        <row r="498">
          <cell r="C498" t="str">
            <v>Control</v>
          </cell>
          <cell r="D498" t="str">
            <v>East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1</v>
          </cell>
          <cell r="N498">
            <v>0</v>
          </cell>
          <cell r="P498">
            <v>50.5</v>
          </cell>
        </row>
        <row r="499">
          <cell r="C499" t="str">
            <v>Control</v>
          </cell>
          <cell r="D499" t="str">
            <v>South</v>
          </cell>
          <cell r="H499">
            <v>1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P499">
            <v>54.9</v>
          </cell>
        </row>
        <row r="500">
          <cell r="C500" t="str">
            <v>Control</v>
          </cell>
          <cell r="D500" t="str">
            <v>South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P500">
            <v>29.9</v>
          </cell>
        </row>
        <row r="501">
          <cell r="C501" t="str">
            <v>Control</v>
          </cell>
          <cell r="D501" t="str">
            <v>East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P501">
            <v>48.3</v>
          </cell>
        </row>
        <row r="502">
          <cell r="C502" t="str">
            <v>Control</v>
          </cell>
          <cell r="D502" t="str">
            <v>West</v>
          </cell>
          <cell r="H502">
            <v>1</v>
          </cell>
          <cell r="I502">
            <v>1</v>
          </cell>
          <cell r="J502">
            <v>1</v>
          </cell>
          <cell r="K502">
            <v>1</v>
          </cell>
          <cell r="L502">
            <v>513.61</v>
          </cell>
          <cell r="M502">
            <v>0</v>
          </cell>
          <cell r="N502">
            <v>0</v>
          </cell>
          <cell r="O502">
            <v>7</v>
          </cell>
          <cell r="P502">
            <v>41.3</v>
          </cell>
        </row>
        <row r="503">
          <cell r="C503" t="str">
            <v>Control</v>
          </cell>
          <cell r="D503" t="str">
            <v>North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P503">
            <v>61.4</v>
          </cell>
        </row>
        <row r="504">
          <cell r="C504" t="str">
            <v>Control</v>
          </cell>
          <cell r="D504" t="str">
            <v>South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P504">
            <v>57.8</v>
          </cell>
        </row>
        <row r="505">
          <cell r="C505" t="str">
            <v>Control</v>
          </cell>
          <cell r="D505" t="str">
            <v>North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P505">
            <v>78.2</v>
          </cell>
        </row>
        <row r="506">
          <cell r="C506" t="str">
            <v>Control</v>
          </cell>
          <cell r="D506" t="str">
            <v>North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P506">
            <v>63.8</v>
          </cell>
        </row>
        <row r="507">
          <cell r="C507" t="str">
            <v>Control</v>
          </cell>
          <cell r="D507" t="str">
            <v>North</v>
          </cell>
          <cell r="H507">
            <v>1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P507">
            <v>56.8</v>
          </cell>
        </row>
        <row r="508">
          <cell r="C508" t="str">
            <v>Control</v>
          </cell>
          <cell r="D508" t="str">
            <v>South</v>
          </cell>
          <cell r="H508">
            <v>1</v>
          </cell>
          <cell r="I508">
            <v>1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P508">
            <v>59.6</v>
          </cell>
        </row>
        <row r="509">
          <cell r="C509" t="str">
            <v>Control</v>
          </cell>
          <cell r="D509" t="str">
            <v>West</v>
          </cell>
          <cell r="H509">
            <v>1</v>
          </cell>
          <cell r="I509">
            <v>1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P509">
            <v>50</v>
          </cell>
        </row>
        <row r="510">
          <cell r="C510" t="str">
            <v>Control</v>
          </cell>
          <cell r="D510" t="str">
            <v>North</v>
          </cell>
          <cell r="H510">
            <v>1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P510">
            <v>35.700000000000003</v>
          </cell>
        </row>
        <row r="511">
          <cell r="C511" t="str">
            <v>Control</v>
          </cell>
          <cell r="D511" t="str">
            <v>South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2</v>
          </cell>
          <cell r="N511">
            <v>0</v>
          </cell>
          <cell r="P511">
            <v>47.2</v>
          </cell>
        </row>
        <row r="512">
          <cell r="C512" t="str">
            <v>Control</v>
          </cell>
          <cell r="D512" t="str">
            <v>North</v>
          </cell>
          <cell r="H512">
            <v>1</v>
          </cell>
          <cell r="I512">
            <v>1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P512">
            <v>56.9</v>
          </cell>
        </row>
        <row r="513">
          <cell r="C513" t="str">
            <v>Control</v>
          </cell>
          <cell r="D513" t="str">
            <v>South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1</v>
          </cell>
          <cell r="N513">
            <v>0</v>
          </cell>
          <cell r="P513">
            <v>57.2</v>
          </cell>
        </row>
        <row r="514">
          <cell r="C514" t="str">
            <v>Control</v>
          </cell>
          <cell r="D514" t="str">
            <v>South</v>
          </cell>
          <cell r="H514">
            <v>1</v>
          </cell>
          <cell r="I514">
            <v>1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P514">
            <v>31.4</v>
          </cell>
        </row>
        <row r="515">
          <cell r="C515" t="str">
            <v>Control</v>
          </cell>
          <cell r="D515" t="str">
            <v>South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P515">
            <v>71.2</v>
          </cell>
        </row>
        <row r="516">
          <cell r="C516" t="str">
            <v>Control</v>
          </cell>
          <cell r="D516" t="str">
            <v>North</v>
          </cell>
          <cell r="H516">
            <v>1</v>
          </cell>
          <cell r="I516">
            <v>1</v>
          </cell>
          <cell r="J516">
            <v>1</v>
          </cell>
          <cell r="K516">
            <v>0</v>
          </cell>
          <cell r="L516">
            <v>0</v>
          </cell>
          <cell r="M516">
            <v>1</v>
          </cell>
          <cell r="N516">
            <v>0</v>
          </cell>
          <cell r="P516">
            <v>38.299999999999997</v>
          </cell>
        </row>
        <row r="517">
          <cell r="C517" t="str">
            <v>Control</v>
          </cell>
          <cell r="D517" t="str">
            <v>North</v>
          </cell>
          <cell r="H517">
            <v>1</v>
          </cell>
          <cell r="I517">
            <v>1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P517">
            <v>63.1</v>
          </cell>
        </row>
        <row r="518">
          <cell r="C518" t="str">
            <v>Control</v>
          </cell>
          <cell r="D518" t="str">
            <v>East</v>
          </cell>
          <cell r="H518">
            <v>1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P518">
            <v>59.7</v>
          </cell>
        </row>
        <row r="519">
          <cell r="C519" t="str">
            <v>Control</v>
          </cell>
          <cell r="D519" t="str">
            <v>South</v>
          </cell>
          <cell r="H519">
            <v>1</v>
          </cell>
          <cell r="I519">
            <v>1</v>
          </cell>
          <cell r="J519">
            <v>1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P519">
            <v>59.5</v>
          </cell>
        </row>
        <row r="520">
          <cell r="C520" t="str">
            <v>Control</v>
          </cell>
          <cell r="D520" t="str">
            <v>East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P520">
            <v>78.8</v>
          </cell>
        </row>
        <row r="521">
          <cell r="C521" t="str">
            <v>Control</v>
          </cell>
          <cell r="D521" t="str">
            <v>West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P521">
            <v>54</v>
          </cell>
        </row>
        <row r="522">
          <cell r="C522" t="str">
            <v>Control</v>
          </cell>
          <cell r="D522" t="str">
            <v>West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P522">
            <v>66.3</v>
          </cell>
        </row>
        <row r="523">
          <cell r="C523" t="str">
            <v>Control</v>
          </cell>
          <cell r="D523" t="str">
            <v>East</v>
          </cell>
          <cell r="H523">
            <v>1</v>
          </cell>
          <cell r="I523">
            <v>1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P523">
            <v>54.7</v>
          </cell>
        </row>
        <row r="524">
          <cell r="C524" t="str">
            <v>Control</v>
          </cell>
          <cell r="D524" t="str">
            <v>South</v>
          </cell>
          <cell r="H524">
            <v>1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P524">
            <v>76.7</v>
          </cell>
        </row>
        <row r="525">
          <cell r="C525" t="str">
            <v>Control</v>
          </cell>
          <cell r="D525" t="str">
            <v>South</v>
          </cell>
          <cell r="H525">
            <v>1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2</v>
          </cell>
          <cell r="N525">
            <v>0</v>
          </cell>
          <cell r="P525">
            <v>47.4</v>
          </cell>
        </row>
        <row r="526">
          <cell r="C526" t="str">
            <v>Control</v>
          </cell>
          <cell r="D526" t="str">
            <v>North</v>
          </cell>
          <cell r="H526">
            <v>1</v>
          </cell>
          <cell r="I526">
            <v>1</v>
          </cell>
          <cell r="J526">
            <v>1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P526">
            <v>81.7</v>
          </cell>
        </row>
        <row r="527">
          <cell r="C527" t="str">
            <v>Control</v>
          </cell>
          <cell r="D527" t="str">
            <v>West</v>
          </cell>
          <cell r="H527">
            <v>1</v>
          </cell>
          <cell r="I527">
            <v>1</v>
          </cell>
          <cell r="J527">
            <v>1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P527">
            <v>67.5</v>
          </cell>
        </row>
        <row r="528">
          <cell r="C528" t="str">
            <v>Control</v>
          </cell>
          <cell r="D528" t="str">
            <v>West</v>
          </cell>
          <cell r="H528">
            <v>1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P528">
            <v>36.799999999999997</v>
          </cell>
        </row>
        <row r="529">
          <cell r="C529" t="str">
            <v>Control</v>
          </cell>
          <cell r="D529" t="str">
            <v>North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P529">
            <v>66.5</v>
          </cell>
        </row>
        <row r="530">
          <cell r="C530" t="str">
            <v>Control</v>
          </cell>
          <cell r="D530" t="str">
            <v>East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P530">
            <v>35.4</v>
          </cell>
        </row>
        <row r="531">
          <cell r="C531" t="str">
            <v>Control</v>
          </cell>
          <cell r="D531" t="str">
            <v>South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P531">
            <v>64.3</v>
          </cell>
        </row>
        <row r="532">
          <cell r="C532" t="str">
            <v>Control</v>
          </cell>
          <cell r="D532" t="str">
            <v>South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P532">
            <v>49.1</v>
          </cell>
        </row>
        <row r="533">
          <cell r="C533" t="str">
            <v>Control</v>
          </cell>
          <cell r="D533" t="str">
            <v>West</v>
          </cell>
          <cell r="H533">
            <v>1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P533">
            <v>84.3</v>
          </cell>
        </row>
        <row r="534">
          <cell r="C534" t="str">
            <v>Control</v>
          </cell>
          <cell r="D534" t="str">
            <v>South</v>
          </cell>
          <cell r="H534">
            <v>1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P534">
            <v>65.599999999999994</v>
          </cell>
        </row>
        <row r="535">
          <cell r="C535" t="str">
            <v>Control</v>
          </cell>
          <cell r="D535" t="str">
            <v>East</v>
          </cell>
          <cell r="H535">
            <v>1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P535">
            <v>47.1</v>
          </cell>
        </row>
        <row r="536">
          <cell r="C536" t="str">
            <v>Control</v>
          </cell>
          <cell r="D536" t="str">
            <v>North</v>
          </cell>
          <cell r="H536">
            <v>1</v>
          </cell>
          <cell r="I536">
            <v>1</v>
          </cell>
          <cell r="J536">
            <v>1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P536">
            <v>70</v>
          </cell>
        </row>
        <row r="537">
          <cell r="C537" t="str">
            <v>Control</v>
          </cell>
          <cell r="D537" t="str">
            <v>South</v>
          </cell>
          <cell r="H537">
            <v>1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P537">
            <v>54.6</v>
          </cell>
        </row>
        <row r="538">
          <cell r="C538" t="str">
            <v>Control</v>
          </cell>
          <cell r="D538" t="str">
            <v>West</v>
          </cell>
          <cell r="H538">
            <v>1</v>
          </cell>
          <cell r="I538">
            <v>1</v>
          </cell>
          <cell r="J538">
            <v>0</v>
          </cell>
          <cell r="K538">
            <v>0</v>
          </cell>
          <cell r="L538">
            <v>0</v>
          </cell>
          <cell r="M538">
            <v>1</v>
          </cell>
          <cell r="N538">
            <v>0</v>
          </cell>
          <cell r="P538">
            <v>65.2</v>
          </cell>
        </row>
        <row r="539">
          <cell r="C539" t="str">
            <v>Control</v>
          </cell>
          <cell r="D539" t="str">
            <v>East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P539">
            <v>65</v>
          </cell>
        </row>
        <row r="540">
          <cell r="C540" t="str">
            <v>Control</v>
          </cell>
          <cell r="D540" t="str">
            <v>West</v>
          </cell>
          <cell r="H540">
            <v>1</v>
          </cell>
          <cell r="I540">
            <v>1</v>
          </cell>
          <cell r="J540">
            <v>1</v>
          </cell>
          <cell r="K540">
            <v>0</v>
          </cell>
          <cell r="L540">
            <v>0</v>
          </cell>
          <cell r="M540">
            <v>1</v>
          </cell>
          <cell r="N540">
            <v>0</v>
          </cell>
          <cell r="P540">
            <v>42.1</v>
          </cell>
        </row>
        <row r="541">
          <cell r="C541" t="str">
            <v>Control</v>
          </cell>
          <cell r="D541" t="str">
            <v>West</v>
          </cell>
          <cell r="H541">
            <v>1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P541">
            <v>43.4</v>
          </cell>
        </row>
        <row r="542">
          <cell r="C542" t="str">
            <v>Control</v>
          </cell>
          <cell r="D542" t="str">
            <v>North</v>
          </cell>
          <cell r="H542">
            <v>1</v>
          </cell>
          <cell r="I542">
            <v>1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P542">
            <v>39.9</v>
          </cell>
        </row>
        <row r="543">
          <cell r="C543" t="str">
            <v>Control</v>
          </cell>
          <cell r="D543" t="str">
            <v>North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P543">
            <v>74.099999999999994</v>
          </cell>
        </row>
        <row r="544">
          <cell r="C544" t="str">
            <v>Control</v>
          </cell>
          <cell r="D544" t="str">
            <v>East</v>
          </cell>
          <cell r="H544">
            <v>1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P544">
            <v>61.4</v>
          </cell>
        </row>
        <row r="545">
          <cell r="C545" t="str">
            <v>Control</v>
          </cell>
          <cell r="D545" t="str">
            <v>East</v>
          </cell>
          <cell r="H545">
            <v>1</v>
          </cell>
          <cell r="I545">
            <v>1</v>
          </cell>
          <cell r="J545">
            <v>1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P545">
            <v>76.8</v>
          </cell>
        </row>
        <row r="546">
          <cell r="C546" t="str">
            <v>Control</v>
          </cell>
          <cell r="D546" t="str">
            <v>South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</row>
        <row r="547">
          <cell r="C547" t="str">
            <v>Control</v>
          </cell>
          <cell r="D547" t="str">
            <v>East</v>
          </cell>
          <cell r="H547">
            <v>1</v>
          </cell>
          <cell r="I547">
            <v>1</v>
          </cell>
          <cell r="J547">
            <v>1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P547">
            <v>45.3</v>
          </cell>
        </row>
        <row r="548">
          <cell r="C548" t="str">
            <v>Control</v>
          </cell>
          <cell r="D548" t="str">
            <v>North</v>
          </cell>
          <cell r="H548">
            <v>1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P548">
            <v>41.4</v>
          </cell>
        </row>
        <row r="549">
          <cell r="C549" t="str">
            <v>Control</v>
          </cell>
          <cell r="D549" t="str">
            <v>North</v>
          </cell>
          <cell r="H549">
            <v>1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P549">
            <v>37.1</v>
          </cell>
        </row>
        <row r="550">
          <cell r="C550" t="str">
            <v>Control</v>
          </cell>
          <cell r="D550" t="str">
            <v>East</v>
          </cell>
          <cell r="H550">
            <v>1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P550">
            <v>40.700000000000003</v>
          </cell>
        </row>
        <row r="551">
          <cell r="C551" t="str">
            <v>Control</v>
          </cell>
          <cell r="D551" t="str">
            <v>North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2</v>
          </cell>
          <cell r="N551">
            <v>0</v>
          </cell>
          <cell r="P551">
            <v>55.9</v>
          </cell>
        </row>
        <row r="552">
          <cell r="C552" t="str">
            <v>Control</v>
          </cell>
          <cell r="D552" t="str">
            <v>East</v>
          </cell>
          <cell r="H552">
            <v>1</v>
          </cell>
          <cell r="I552">
            <v>1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P552">
            <v>55.8</v>
          </cell>
        </row>
        <row r="553">
          <cell r="C553" t="str">
            <v>Control</v>
          </cell>
          <cell r="D553" t="str">
            <v>South</v>
          </cell>
          <cell r="H553">
            <v>1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P553">
            <v>64.3</v>
          </cell>
        </row>
        <row r="554">
          <cell r="C554" t="str">
            <v>Control</v>
          </cell>
          <cell r="D554" t="str">
            <v>North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P554">
            <v>65.400000000000006</v>
          </cell>
        </row>
        <row r="555">
          <cell r="C555" t="str">
            <v>Control</v>
          </cell>
          <cell r="D555" t="str">
            <v>West</v>
          </cell>
          <cell r="H555">
            <v>1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P555">
            <v>89.8</v>
          </cell>
        </row>
        <row r="556">
          <cell r="C556" t="str">
            <v>Control</v>
          </cell>
          <cell r="D556" t="str">
            <v>South</v>
          </cell>
          <cell r="H556">
            <v>1</v>
          </cell>
          <cell r="I556">
            <v>1</v>
          </cell>
          <cell r="J556">
            <v>1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P556">
            <v>58.3</v>
          </cell>
        </row>
        <row r="557">
          <cell r="C557" t="str">
            <v>Control</v>
          </cell>
          <cell r="D557" t="str">
            <v>South</v>
          </cell>
          <cell r="H557">
            <v>1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P557">
            <v>64.400000000000006</v>
          </cell>
        </row>
        <row r="558">
          <cell r="C558" t="str">
            <v>Control</v>
          </cell>
          <cell r="D558" t="str">
            <v>North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P558">
            <v>46.2</v>
          </cell>
        </row>
        <row r="559">
          <cell r="C559" t="str">
            <v>Control</v>
          </cell>
          <cell r="D559" t="str">
            <v>North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P559">
            <v>78</v>
          </cell>
        </row>
        <row r="560">
          <cell r="C560" t="str">
            <v>Control</v>
          </cell>
          <cell r="D560" t="str">
            <v>North</v>
          </cell>
          <cell r="H560">
            <v>1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P560">
            <v>62.3</v>
          </cell>
        </row>
        <row r="561">
          <cell r="C561" t="str">
            <v>Control</v>
          </cell>
          <cell r="D561" t="str">
            <v>North</v>
          </cell>
          <cell r="H561">
            <v>1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P561">
            <v>78.8</v>
          </cell>
        </row>
        <row r="562">
          <cell r="C562" t="str">
            <v>Control</v>
          </cell>
          <cell r="D562" t="str">
            <v>North</v>
          </cell>
          <cell r="H562">
            <v>1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P562">
            <v>25</v>
          </cell>
        </row>
        <row r="563">
          <cell r="C563" t="str">
            <v>Control</v>
          </cell>
          <cell r="D563" t="str">
            <v>East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P563">
            <v>53.4</v>
          </cell>
        </row>
        <row r="564">
          <cell r="C564" t="str">
            <v>Control</v>
          </cell>
          <cell r="D564" t="str">
            <v>East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P564">
            <v>40.700000000000003</v>
          </cell>
        </row>
        <row r="565">
          <cell r="C565" t="str">
            <v>Control</v>
          </cell>
          <cell r="D565" t="str">
            <v>East</v>
          </cell>
          <cell r="H565">
            <v>1</v>
          </cell>
          <cell r="I565">
            <v>1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P565">
            <v>36.700000000000003</v>
          </cell>
        </row>
        <row r="566">
          <cell r="C566" t="str">
            <v>Control</v>
          </cell>
          <cell r="D566" t="str">
            <v>West</v>
          </cell>
          <cell r="H566">
            <v>1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1</v>
          </cell>
          <cell r="N566">
            <v>0</v>
          </cell>
          <cell r="P566">
            <v>67.5</v>
          </cell>
        </row>
        <row r="567">
          <cell r="C567" t="str">
            <v>Control</v>
          </cell>
          <cell r="D567" t="str">
            <v>East</v>
          </cell>
          <cell r="H567">
            <v>1</v>
          </cell>
          <cell r="I567">
            <v>1</v>
          </cell>
          <cell r="J567">
            <v>1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P567">
            <v>69.900000000000006</v>
          </cell>
        </row>
        <row r="568">
          <cell r="C568" t="str">
            <v>Control</v>
          </cell>
          <cell r="D568" t="str">
            <v>North</v>
          </cell>
          <cell r="H568">
            <v>1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P568">
            <v>65.099999999999994</v>
          </cell>
        </row>
        <row r="569">
          <cell r="C569" t="str">
            <v>Control</v>
          </cell>
          <cell r="D569" t="str">
            <v>West</v>
          </cell>
          <cell r="H569">
            <v>1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P569">
            <v>48.7</v>
          </cell>
        </row>
        <row r="570">
          <cell r="C570" t="str">
            <v>Control</v>
          </cell>
          <cell r="D570" t="str">
            <v>West</v>
          </cell>
          <cell r="H570">
            <v>1</v>
          </cell>
          <cell r="I570">
            <v>1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P570">
            <v>47.2</v>
          </cell>
        </row>
        <row r="571">
          <cell r="C571" t="str">
            <v>Control</v>
          </cell>
          <cell r="D571" t="str">
            <v>North</v>
          </cell>
          <cell r="H571">
            <v>1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2</v>
          </cell>
          <cell r="N571">
            <v>0</v>
          </cell>
          <cell r="P571">
            <v>20.3</v>
          </cell>
        </row>
        <row r="572">
          <cell r="C572" t="str">
            <v>Control</v>
          </cell>
          <cell r="D572" t="str">
            <v>West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1</v>
          </cell>
          <cell r="N572">
            <v>0</v>
          </cell>
          <cell r="P572">
            <v>57.8</v>
          </cell>
        </row>
        <row r="573">
          <cell r="C573" t="str">
            <v>Control</v>
          </cell>
          <cell r="D573" t="str">
            <v>East</v>
          </cell>
          <cell r="H573">
            <v>1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P573">
            <v>78.7</v>
          </cell>
        </row>
        <row r="574">
          <cell r="C574" t="str">
            <v>Control</v>
          </cell>
          <cell r="D574" t="str">
            <v>South</v>
          </cell>
          <cell r="H574">
            <v>1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P574">
            <v>63.6</v>
          </cell>
        </row>
        <row r="575">
          <cell r="C575" t="str">
            <v>Control</v>
          </cell>
          <cell r="D575" t="str">
            <v>South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2</v>
          </cell>
          <cell r="N575">
            <v>0</v>
          </cell>
          <cell r="P575">
            <v>45.1</v>
          </cell>
        </row>
        <row r="576">
          <cell r="C576" t="str">
            <v>Control</v>
          </cell>
          <cell r="D576" t="str">
            <v>West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P576">
            <v>77.5</v>
          </cell>
        </row>
        <row r="577">
          <cell r="C577" t="str">
            <v>Control</v>
          </cell>
          <cell r="D577" t="str">
            <v>East</v>
          </cell>
          <cell r="H577">
            <v>1</v>
          </cell>
          <cell r="I577">
            <v>1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P577">
            <v>58</v>
          </cell>
        </row>
        <row r="578">
          <cell r="C578" t="str">
            <v>Control</v>
          </cell>
          <cell r="D578" t="str">
            <v>South</v>
          </cell>
          <cell r="H578">
            <v>1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P578">
            <v>68.099999999999994</v>
          </cell>
        </row>
        <row r="579">
          <cell r="C579" t="str">
            <v>Control</v>
          </cell>
          <cell r="D579" t="str">
            <v>East</v>
          </cell>
          <cell r="H579">
            <v>1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P579">
            <v>35.4</v>
          </cell>
        </row>
        <row r="580">
          <cell r="C580" t="str">
            <v>Control</v>
          </cell>
          <cell r="D580" t="str">
            <v>West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P580">
            <v>47</v>
          </cell>
        </row>
        <row r="581">
          <cell r="C581" t="str">
            <v>Control</v>
          </cell>
          <cell r="D581" t="str">
            <v>East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P581">
            <v>75</v>
          </cell>
        </row>
        <row r="582">
          <cell r="C582" t="str">
            <v>Control</v>
          </cell>
          <cell r="D582" t="str">
            <v>South</v>
          </cell>
          <cell r="H582">
            <v>1</v>
          </cell>
          <cell r="I582">
            <v>1</v>
          </cell>
          <cell r="J582">
            <v>1</v>
          </cell>
          <cell r="K582">
            <v>0</v>
          </cell>
          <cell r="L582">
            <v>0</v>
          </cell>
          <cell r="M582">
            <v>3</v>
          </cell>
          <cell r="N582">
            <v>0</v>
          </cell>
          <cell r="P582">
            <v>50.2</v>
          </cell>
        </row>
        <row r="583">
          <cell r="C583" t="str">
            <v>Control</v>
          </cell>
          <cell r="D583" t="str">
            <v>East</v>
          </cell>
          <cell r="H583">
            <v>1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P583">
            <v>40.1</v>
          </cell>
        </row>
        <row r="584">
          <cell r="C584" t="str">
            <v>Control</v>
          </cell>
          <cell r="D584" t="str">
            <v>West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P584">
            <v>61.1</v>
          </cell>
        </row>
        <row r="585">
          <cell r="C585" t="str">
            <v>Control</v>
          </cell>
          <cell r="D585" t="str">
            <v>South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P585">
            <v>42.4</v>
          </cell>
        </row>
        <row r="586">
          <cell r="C586" t="str">
            <v>Control</v>
          </cell>
          <cell r="D586" t="str">
            <v>North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1</v>
          </cell>
          <cell r="N586">
            <v>0</v>
          </cell>
          <cell r="P586">
            <v>46.6</v>
          </cell>
        </row>
        <row r="587">
          <cell r="C587" t="str">
            <v>Control</v>
          </cell>
          <cell r="D587" t="str">
            <v>South</v>
          </cell>
          <cell r="H587">
            <v>1</v>
          </cell>
          <cell r="I587">
            <v>1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P587">
            <v>72.099999999999994</v>
          </cell>
        </row>
        <row r="588">
          <cell r="C588" t="str">
            <v>Control</v>
          </cell>
          <cell r="D588" t="str">
            <v>East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P588">
            <v>21.5</v>
          </cell>
        </row>
        <row r="589">
          <cell r="C589" t="str">
            <v>Control</v>
          </cell>
          <cell r="D589" t="str">
            <v>North</v>
          </cell>
          <cell r="H589">
            <v>1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1</v>
          </cell>
          <cell r="N589">
            <v>0</v>
          </cell>
          <cell r="P589">
            <v>65.400000000000006</v>
          </cell>
        </row>
        <row r="590">
          <cell r="C590" t="str">
            <v>Control</v>
          </cell>
          <cell r="D590" t="str">
            <v>East</v>
          </cell>
          <cell r="H590">
            <v>1</v>
          </cell>
          <cell r="I590">
            <v>1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P590">
            <v>53.3</v>
          </cell>
        </row>
        <row r="591">
          <cell r="C591" t="str">
            <v>Control</v>
          </cell>
          <cell r="D591" t="str">
            <v>East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2</v>
          </cell>
          <cell r="N591">
            <v>0</v>
          </cell>
          <cell r="P591">
            <v>52.3</v>
          </cell>
        </row>
        <row r="592">
          <cell r="C592" t="str">
            <v>Control</v>
          </cell>
          <cell r="D592" t="str">
            <v>East</v>
          </cell>
          <cell r="H592">
            <v>1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P592">
            <v>62.5</v>
          </cell>
        </row>
        <row r="593">
          <cell r="C593" t="str">
            <v>Control</v>
          </cell>
          <cell r="D593" t="str">
            <v>North</v>
          </cell>
          <cell r="H593">
            <v>1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P593">
            <v>69.8</v>
          </cell>
        </row>
        <row r="594">
          <cell r="C594" t="str">
            <v>Control</v>
          </cell>
          <cell r="D594" t="str">
            <v>East</v>
          </cell>
          <cell r="H594">
            <v>1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P594">
            <v>68.2</v>
          </cell>
        </row>
        <row r="595">
          <cell r="C595" t="str">
            <v>Control</v>
          </cell>
          <cell r="D595" t="str">
            <v>South</v>
          </cell>
          <cell r="H595">
            <v>1</v>
          </cell>
          <cell r="I595">
            <v>1</v>
          </cell>
          <cell r="J595">
            <v>1</v>
          </cell>
          <cell r="K595">
            <v>1</v>
          </cell>
          <cell r="L595">
            <v>751.73</v>
          </cell>
          <cell r="M595">
            <v>0</v>
          </cell>
          <cell r="N595">
            <v>0</v>
          </cell>
          <cell r="O595">
            <v>6</v>
          </cell>
          <cell r="P595">
            <v>35.200000000000003</v>
          </cell>
        </row>
        <row r="596">
          <cell r="C596" t="str">
            <v>Control</v>
          </cell>
          <cell r="D596" t="str">
            <v>South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P596">
            <v>59.3</v>
          </cell>
        </row>
        <row r="597">
          <cell r="C597" t="str">
            <v>Control</v>
          </cell>
          <cell r="D597" t="str">
            <v>North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P597">
            <v>68.099999999999994</v>
          </cell>
        </row>
        <row r="598">
          <cell r="C598" t="str">
            <v>Control</v>
          </cell>
          <cell r="D598" t="str">
            <v>North</v>
          </cell>
          <cell r="H598">
            <v>1</v>
          </cell>
          <cell r="I598">
            <v>1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P598">
            <v>74.8</v>
          </cell>
        </row>
        <row r="599">
          <cell r="C599" t="str">
            <v>Control</v>
          </cell>
          <cell r="D599" t="str">
            <v>West</v>
          </cell>
          <cell r="H599">
            <v>1</v>
          </cell>
          <cell r="I599">
            <v>1</v>
          </cell>
          <cell r="J599">
            <v>1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P599">
            <v>61.7</v>
          </cell>
        </row>
        <row r="600">
          <cell r="C600" t="str">
            <v>Control</v>
          </cell>
          <cell r="D600" t="str">
            <v>North</v>
          </cell>
          <cell r="H600">
            <v>1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P600">
            <v>24.3</v>
          </cell>
        </row>
        <row r="601">
          <cell r="C601" t="str">
            <v>Control</v>
          </cell>
          <cell r="D601" t="str">
            <v>South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1</v>
          </cell>
          <cell r="N601">
            <v>0</v>
          </cell>
          <cell r="P601">
            <v>61.9</v>
          </cell>
        </row>
        <row r="602">
          <cell r="C602" t="str">
            <v>Control</v>
          </cell>
          <cell r="D602" t="str">
            <v>East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2</v>
          </cell>
          <cell r="N602">
            <v>0</v>
          </cell>
          <cell r="P602">
            <v>41.7</v>
          </cell>
        </row>
        <row r="603">
          <cell r="C603" t="str">
            <v>Control</v>
          </cell>
          <cell r="D603" t="str">
            <v>South</v>
          </cell>
          <cell r="H603">
            <v>1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P603">
            <v>87.6</v>
          </cell>
        </row>
        <row r="604">
          <cell r="C604" t="str">
            <v>Control</v>
          </cell>
          <cell r="D604" t="str">
            <v>East</v>
          </cell>
          <cell r="H604">
            <v>1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P604">
            <v>30.8</v>
          </cell>
        </row>
        <row r="605">
          <cell r="C605" t="str">
            <v>Control</v>
          </cell>
          <cell r="D605" t="str">
            <v>North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P605">
            <v>54</v>
          </cell>
        </row>
        <row r="606">
          <cell r="C606" t="str">
            <v>Control</v>
          </cell>
          <cell r="D606" t="str">
            <v>East</v>
          </cell>
          <cell r="H606">
            <v>1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1</v>
          </cell>
          <cell r="N606">
            <v>0</v>
          </cell>
          <cell r="P606">
            <v>54.5</v>
          </cell>
        </row>
        <row r="607">
          <cell r="C607" t="str">
            <v>Control</v>
          </cell>
          <cell r="D607" t="str">
            <v>West</v>
          </cell>
          <cell r="H607">
            <v>1</v>
          </cell>
          <cell r="I607">
            <v>1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P607">
            <v>61.3</v>
          </cell>
        </row>
        <row r="608">
          <cell r="C608" t="str">
            <v>Control</v>
          </cell>
          <cell r="D608" t="str">
            <v>West</v>
          </cell>
          <cell r="H608">
            <v>1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P608">
            <v>62.7</v>
          </cell>
        </row>
        <row r="609">
          <cell r="C609" t="str">
            <v>Control</v>
          </cell>
          <cell r="D609" t="str">
            <v>South</v>
          </cell>
          <cell r="H609">
            <v>1</v>
          </cell>
          <cell r="I609">
            <v>1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P609">
            <v>43.1</v>
          </cell>
        </row>
        <row r="610">
          <cell r="C610" t="str">
            <v>Control</v>
          </cell>
          <cell r="D610" t="str">
            <v>South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P610">
            <v>59.9</v>
          </cell>
        </row>
        <row r="611">
          <cell r="C611" t="str">
            <v>Control</v>
          </cell>
          <cell r="D611" t="str">
            <v>North</v>
          </cell>
          <cell r="H611">
            <v>1</v>
          </cell>
          <cell r="I611">
            <v>1</v>
          </cell>
          <cell r="J611">
            <v>1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P611">
            <v>55.7</v>
          </cell>
        </row>
        <row r="612">
          <cell r="C612" t="str">
            <v>Control</v>
          </cell>
          <cell r="D612" t="str">
            <v>South</v>
          </cell>
          <cell r="H612">
            <v>1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P612">
            <v>37.1</v>
          </cell>
        </row>
        <row r="613">
          <cell r="C613" t="str">
            <v>Control</v>
          </cell>
          <cell r="D613" t="str">
            <v>East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1</v>
          </cell>
          <cell r="N613">
            <v>0</v>
          </cell>
          <cell r="P613">
            <v>46.7</v>
          </cell>
        </row>
        <row r="614">
          <cell r="C614" t="str">
            <v>Control</v>
          </cell>
          <cell r="D614" t="str">
            <v>South</v>
          </cell>
          <cell r="H614">
            <v>1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P614">
            <v>54.1</v>
          </cell>
        </row>
        <row r="615">
          <cell r="C615" t="str">
            <v>Control</v>
          </cell>
          <cell r="D615" t="str">
            <v>West</v>
          </cell>
          <cell r="H615">
            <v>1</v>
          </cell>
          <cell r="I615">
            <v>1</v>
          </cell>
          <cell r="J615">
            <v>1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P615">
            <v>56.1</v>
          </cell>
        </row>
        <row r="616">
          <cell r="C616" t="str">
            <v>Control</v>
          </cell>
          <cell r="D616" t="str">
            <v>West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P616">
            <v>23.6</v>
          </cell>
        </row>
        <row r="617">
          <cell r="C617" t="str">
            <v>Control</v>
          </cell>
          <cell r="D617" t="str">
            <v>North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P617">
            <v>54.7</v>
          </cell>
        </row>
        <row r="618">
          <cell r="C618" t="str">
            <v>Control</v>
          </cell>
          <cell r="D618" t="str">
            <v>North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2</v>
          </cell>
          <cell r="N618">
            <v>0</v>
          </cell>
          <cell r="P618">
            <v>50.4</v>
          </cell>
        </row>
        <row r="619">
          <cell r="C619" t="str">
            <v>Control</v>
          </cell>
          <cell r="D619" t="str">
            <v>West</v>
          </cell>
          <cell r="H619">
            <v>1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P619">
            <v>54.5</v>
          </cell>
        </row>
        <row r="620">
          <cell r="C620" t="str">
            <v>Control</v>
          </cell>
          <cell r="D620" t="str">
            <v>West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P620">
            <v>58</v>
          </cell>
        </row>
        <row r="621">
          <cell r="C621" t="str">
            <v>Control</v>
          </cell>
          <cell r="D621" t="str">
            <v>North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P621">
            <v>42.9</v>
          </cell>
        </row>
        <row r="622">
          <cell r="C622" t="str">
            <v>Control</v>
          </cell>
          <cell r="D622" t="str">
            <v>South</v>
          </cell>
          <cell r="H622">
            <v>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P622">
            <v>51.1</v>
          </cell>
        </row>
        <row r="623">
          <cell r="C623" t="str">
            <v>Control</v>
          </cell>
          <cell r="D623" t="str">
            <v>East</v>
          </cell>
          <cell r="H623">
            <v>1</v>
          </cell>
          <cell r="I623">
            <v>1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P623">
            <v>51.8</v>
          </cell>
        </row>
        <row r="624">
          <cell r="C624" t="str">
            <v>Control</v>
          </cell>
          <cell r="D624" t="str">
            <v>South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P624">
            <v>67.7</v>
          </cell>
        </row>
        <row r="625">
          <cell r="C625" t="str">
            <v>Control</v>
          </cell>
          <cell r="D625" t="str">
            <v>East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P625">
            <v>75.8</v>
          </cell>
        </row>
        <row r="626">
          <cell r="C626" t="str">
            <v>Control</v>
          </cell>
          <cell r="D626" t="str">
            <v>East</v>
          </cell>
          <cell r="H626">
            <v>1</v>
          </cell>
          <cell r="I626">
            <v>1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P626">
            <v>72.8</v>
          </cell>
        </row>
        <row r="627">
          <cell r="C627" t="str">
            <v>Control</v>
          </cell>
          <cell r="D627" t="str">
            <v>North</v>
          </cell>
          <cell r="H627">
            <v>1</v>
          </cell>
          <cell r="I627">
            <v>1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P627">
            <v>54.4</v>
          </cell>
        </row>
        <row r="628">
          <cell r="C628" t="str">
            <v>Control</v>
          </cell>
          <cell r="D628" t="str">
            <v>West</v>
          </cell>
          <cell r="H628">
            <v>1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P628">
            <v>51.8</v>
          </cell>
        </row>
        <row r="629">
          <cell r="C629" t="str">
            <v>Control</v>
          </cell>
          <cell r="D629" t="str">
            <v>South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P629">
            <v>40.299999999999997</v>
          </cell>
        </row>
        <row r="630">
          <cell r="C630" t="str">
            <v>Control</v>
          </cell>
          <cell r="D630" t="str">
            <v>South</v>
          </cell>
          <cell r="H630">
            <v>1</v>
          </cell>
          <cell r="I630">
            <v>1</v>
          </cell>
          <cell r="J630">
            <v>1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P630">
            <v>61.7</v>
          </cell>
        </row>
        <row r="631">
          <cell r="C631" t="str">
            <v>Control</v>
          </cell>
          <cell r="D631" t="str">
            <v>North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P631">
            <v>45</v>
          </cell>
        </row>
        <row r="632">
          <cell r="C632" t="str">
            <v>Control</v>
          </cell>
          <cell r="D632" t="str">
            <v>East</v>
          </cell>
          <cell r="H632">
            <v>1</v>
          </cell>
          <cell r="I632">
            <v>1</v>
          </cell>
          <cell r="J632">
            <v>1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P632">
            <v>60</v>
          </cell>
        </row>
        <row r="633">
          <cell r="C633" t="str">
            <v>Control</v>
          </cell>
          <cell r="D633" t="str">
            <v>North</v>
          </cell>
          <cell r="H633">
            <v>1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</row>
        <row r="634">
          <cell r="C634" t="str">
            <v>Control</v>
          </cell>
          <cell r="D634" t="str">
            <v>East</v>
          </cell>
          <cell r="H634">
            <v>1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P634">
            <v>55.5</v>
          </cell>
        </row>
        <row r="635">
          <cell r="C635" t="str">
            <v>Control</v>
          </cell>
          <cell r="D635" t="str">
            <v>South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P635">
            <v>51.8</v>
          </cell>
        </row>
        <row r="636">
          <cell r="C636" t="str">
            <v>Control</v>
          </cell>
          <cell r="D636" t="str">
            <v>East</v>
          </cell>
          <cell r="H636">
            <v>1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3</v>
          </cell>
          <cell r="N636">
            <v>0</v>
          </cell>
          <cell r="P636">
            <v>56</v>
          </cell>
        </row>
        <row r="637">
          <cell r="C637" t="str">
            <v>Control</v>
          </cell>
          <cell r="D637" t="str">
            <v>West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P637">
            <v>52.5</v>
          </cell>
        </row>
        <row r="638">
          <cell r="C638" t="str">
            <v>Control</v>
          </cell>
          <cell r="D638" t="str">
            <v>West</v>
          </cell>
          <cell r="H638">
            <v>1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P638">
            <v>42.5</v>
          </cell>
        </row>
        <row r="639">
          <cell r="C639" t="str">
            <v>Control</v>
          </cell>
          <cell r="D639" t="str">
            <v>East</v>
          </cell>
          <cell r="H639">
            <v>1</v>
          </cell>
          <cell r="I639">
            <v>1</v>
          </cell>
          <cell r="J639">
            <v>1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P639">
            <v>65.3</v>
          </cell>
        </row>
        <row r="640">
          <cell r="C640" t="str">
            <v>Control</v>
          </cell>
          <cell r="D640" t="str">
            <v>West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P640">
            <v>37.6</v>
          </cell>
        </row>
        <row r="641">
          <cell r="C641" t="str">
            <v>Control</v>
          </cell>
          <cell r="D641" t="str">
            <v>East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P641">
            <v>57.8</v>
          </cell>
        </row>
        <row r="642">
          <cell r="C642" t="str">
            <v>Control</v>
          </cell>
          <cell r="D642" t="str">
            <v>North</v>
          </cell>
          <cell r="H642">
            <v>1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P642">
            <v>52.7</v>
          </cell>
        </row>
        <row r="643">
          <cell r="C643" t="str">
            <v>Control</v>
          </cell>
          <cell r="D643" t="str">
            <v>North</v>
          </cell>
          <cell r="H643">
            <v>1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P643">
            <v>51.7</v>
          </cell>
        </row>
        <row r="644">
          <cell r="C644" t="str">
            <v>Control</v>
          </cell>
          <cell r="D644" t="str">
            <v>North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P644">
            <v>57</v>
          </cell>
        </row>
        <row r="645">
          <cell r="C645" t="str">
            <v>Control</v>
          </cell>
          <cell r="D645" t="str">
            <v>South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P645">
            <v>39.5</v>
          </cell>
        </row>
        <row r="646">
          <cell r="C646" t="str">
            <v>Control</v>
          </cell>
          <cell r="D646" t="str">
            <v>East</v>
          </cell>
          <cell r="H646">
            <v>1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P646">
            <v>76.5</v>
          </cell>
        </row>
        <row r="647">
          <cell r="C647" t="str">
            <v>Control</v>
          </cell>
          <cell r="D647" t="str">
            <v>East</v>
          </cell>
          <cell r="H647">
            <v>1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P647">
            <v>32.4</v>
          </cell>
        </row>
        <row r="648">
          <cell r="C648" t="str">
            <v>Control</v>
          </cell>
          <cell r="D648" t="str">
            <v>North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P648">
            <v>58.6</v>
          </cell>
        </row>
        <row r="649">
          <cell r="C649" t="str">
            <v>Control</v>
          </cell>
          <cell r="D649" t="str">
            <v>East</v>
          </cell>
          <cell r="H649">
            <v>1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P649">
            <v>78.599999999999994</v>
          </cell>
        </row>
        <row r="650">
          <cell r="C650" t="str">
            <v>Control</v>
          </cell>
          <cell r="D650" t="str">
            <v>North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P650">
            <v>54.5</v>
          </cell>
        </row>
        <row r="651">
          <cell r="C651" t="str">
            <v>Control</v>
          </cell>
          <cell r="D651" t="str">
            <v>South</v>
          </cell>
          <cell r="H651">
            <v>1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P651">
            <v>57.6</v>
          </cell>
        </row>
        <row r="652">
          <cell r="C652" t="str">
            <v>Control</v>
          </cell>
          <cell r="D652" t="str">
            <v>South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P652">
            <v>52.8</v>
          </cell>
        </row>
        <row r="653">
          <cell r="C653" t="str">
            <v>Control</v>
          </cell>
          <cell r="D653" t="str">
            <v>West</v>
          </cell>
          <cell r="H653">
            <v>1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P653">
            <v>52.9</v>
          </cell>
        </row>
        <row r="654">
          <cell r="C654" t="str">
            <v>Control</v>
          </cell>
          <cell r="D654" t="str">
            <v>West</v>
          </cell>
          <cell r="H654">
            <v>1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1</v>
          </cell>
          <cell r="N654">
            <v>0</v>
          </cell>
          <cell r="P654">
            <v>55.9</v>
          </cell>
        </row>
        <row r="655">
          <cell r="C655" t="str">
            <v>Control</v>
          </cell>
          <cell r="D655" t="str">
            <v>West</v>
          </cell>
          <cell r="H655">
            <v>1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P655">
            <v>74.2</v>
          </cell>
        </row>
        <row r="656">
          <cell r="C656" t="str">
            <v>Control</v>
          </cell>
          <cell r="D656" t="str">
            <v>West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P656">
            <v>46.3</v>
          </cell>
        </row>
        <row r="657">
          <cell r="C657" t="str">
            <v>Control</v>
          </cell>
          <cell r="D657" t="str">
            <v>West</v>
          </cell>
          <cell r="H657">
            <v>1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P657">
            <v>62</v>
          </cell>
        </row>
        <row r="658">
          <cell r="C658" t="str">
            <v>Control</v>
          </cell>
          <cell r="D658" t="str">
            <v>South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P658">
            <v>55.6</v>
          </cell>
        </row>
        <row r="659">
          <cell r="C659" t="str">
            <v>Control</v>
          </cell>
          <cell r="D659" t="str">
            <v>South</v>
          </cell>
          <cell r="H659">
            <v>1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P659">
            <v>62.8</v>
          </cell>
        </row>
        <row r="660">
          <cell r="C660" t="str">
            <v>Control</v>
          </cell>
          <cell r="D660" t="str">
            <v>East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P660">
            <v>73.099999999999994</v>
          </cell>
        </row>
        <row r="661">
          <cell r="C661" t="str">
            <v>Control</v>
          </cell>
          <cell r="D661" t="str">
            <v>South</v>
          </cell>
          <cell r="H661">
            <v>1</v>
          </cell>
          <cell r="I661">
            <v>1</v>
          </cell>
          <cell r="J661">
            <v>1</v>
          </cell>
          <cell r="K661">
            <v>1</v>
          </cell>
          <cell r="L661">
            <v>347.52</v>
          </cell>
          <cell r="M661">
            <v>0</v>
          </cell>
          <cell r="N661">
            <v>0</v>
          </cell>
          <cell r="O661">
            <v>2</v>
          </cell>
          <cell r="P661">
            <v>57.2</v>
          </cell>
        </row>
        <row r="662">
          <cell r="C662" t="str">
            <v>Control</v>
          </cell>
          <cell r="D662" t="str">
            <v>South</v>
          </cell>
          <cell r="H662">
            <v>1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P662">
            <v>67.900000000000006</v>
          </cell>
        </row>
        <row r="663">
          <cell r="C663" t="str">
            <v>Control</v>
          </cell>
          <cell r="D663" t="str">
            <v>South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P663">
            <v>50.1</v>
          </cell>
        </row>
        <row r="664">
          <cell r="C664" t="str">
            <v>Control</v>
          </cell>
          <cell r="D664" t="str">
            <v>North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P664">
            <v>67.8</v>
          </cell>
        </row>
        <row r="665">
          <cell r="C665" t="str">
            <v>Control</v>
          </cell>
          <cell r="D665" t="str">
            <v>North</v>
          </cell>
          <cell r="H665">
            <v>1</v>
          </cell>
          <cell r="I665">
            <v>1</v>
          </cell>
          <cell r="J665">
            <v>1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P665">
            <v>60.8</v>
          </cell>
        </row>
        <row r="666">
          <cell r="C666" t="str">
            <v>Control</v>
          </cell>
          <cell r="D666" t="str">
            <v>North</v>
          </cell>
          <cell r="H666">
            <v>1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3</v>
          </cell>
          <cell r="N666">
            <v>0</v>
          </cell>
          <cell r="P666">
            <v>33.700000000000003</v>
          </cell>
        </row>
        <row r="667">
          <cell r="C667" t="str">
            <v>Control</v>
          </cell>
          <cell r="D667" t="str">
            <v>North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P667">
            <v>45.2</v>
          </cell>
        </row>
        <row r="668">
          <cell r="C668" t="str">
            <v>Control</v>
          </cell>
          <cell r="D668" t="str">
            <v>East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P668">
            <v>48.2</v>
          </cell>
        </row>
        <row r="669">
          <cell r="C669" t="str">
            <v>Control</v>
          </cell>
          <cell r="D669" t="str">
            <v>South</v>
          </cell>
          <cell r="H669">
            <v>1</v>
          </cell>
          <cell r="I669">
            <v>1</v>
          </cell>
          <cell r="J669">
            <v>0</v>
          </cell>
          <cell r="K669">
            <v>0</v>
          </cell>
          <cell r="L669">
            <v>0</v>
          </cell>
          <cell r="M669">
            <v>1</v>
          </cell>
          <cell r="N669">
            <v>0</v>
          </cell>
          <cell r="P669">
            <v>44.8</v>
          </cell>
        </row>
        <row r="670">
          <cell r="C670" t="str">
            <v>Control</v>
          </cell>
          <cell r="D670" t="str">
            <v>North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P670">
            <v>52.1</v>
          </cell>
        </row>
        <row r="671">
          <cell r="C671" t="str">
            <v>Control</v>
          </cell>
          <cell r="D671" t="str">
            <v>North</v>
          </cell>
          <cell r="H671">
            <v>1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P671">
            <v>30.7</v>
          </cell>
        </row>
        <row r="672">
          <cell r="C672" t="str">
            <v>Control</v>
          </cell>
          <cell r="D672" t="str">
            <v>East</v>
          </cell>
          <cell r="H672">
            <v>1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P672">
            <v>58.4</v>
          </cell>
        </row>
        <row r="673">
          <cell r="C673" t="str">
            <v>Control</v>
          </cell>
          <cell r="D673" t="str">
            <v>West</v>
          </cell>
          <cell r="H673">
            <v>1</v>
          </cell>
          <cell r="I673">
            <v>1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P673">
            <v>52.6</v>
          </cell>
        </row>
        <row r="674">
          <cell r="C674" t="str">
            <v>Control</v>
          </cell>
          <cell r="D674" t="str">
            <v>West</v>
          </cell>
          <cell r="H674">
            <v>1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1</v>
          </cell>
          <cell r="N674">
            <v>0</v>
          </cell>
          <cell r="P674">
            <v>19.100000000000001</v>
          </cell>
        </row>
        <row r="675">
          <cell r="C675" t="str">
            <v>Control</v>
          </cell>
          <cell r="D675" t="str">
            <v>South</v>
          </cell>
          <cell r="H675">
            <v>1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P675">
            <v>36.799999999999997</v>
          </cell>
        </row>
        <row r="676">
          <cell r="C676" t="str">
            <v>Control</v>
          </cell>
          <cell r="D676" t="str">
            <v>North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P676">
            <v>68.5</v>
          </cell>
        </row>
        <row r="677">
          <cell r="C677" t="str">
            <v>Control</v>
          </cell>
          <cell r="D677" t="str">
            <v>West</v>
          </cell>
          <cell r="H677">
            <v>1</v>
          </cell>
          <cell r="I677">
            <v>1</v>
          </cell>
          <cell r="J677">
            <v>1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P677">
            <v>40.1</v>
          </cell>
        </row>
        <row r="678">
          <cell r="C678" t="str">
            <v>Control</v>
          </cell>
          <cell r="D678" t="str">
            <v>West</v>
          </cell>
          <cell r="H678">
            <v>1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P678">
            <v>47.5</v>
          </cell>
        </row>
        <row r="679">
          <cell r="C679" t="str">
            <v>Control</v>
          </cell>
          <cell r="D679" t="str">
            <v>South</v>
          </cell>
          <cell r="H679">
            <v>1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P679">
            <v>77.099999999999994</v>
          </cell>
        </row>
        <row r="680">
          <cell r="C680" t="str">
            <v>Control</v>
          </cell>
          <cell r="D680" t="str">
            <v>West</v>
          </cell>
          <cell r="H680">
            <v>1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P680">
            <v>75.900000000000006</v>
          </cell>
        </row>
        <row r="681">
          <cell r="C681" t="str">
            <v>Control</v>
          </cell>
          <cell r="D681" t="str">
            <v>North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1</v>
          </cell>
          <cell r="N681">
            <v>0</v>
          </cell>
          <cell r="P681">
            <v>52</v>
          </cell>
        </row>
        <row r="682">
          <cell r="C682" t="str">
            <v>Control</v>
          </cell>
          <cell r="D682" t="str">
            <v>West</v>
          </cell>
          <cell r="H682">
            <v>1</v>
          </cell>
          <cell r="I682">
            <v>1</v>
          </cell>
          <cell r="J682">
            <v>1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P682">
            <v>64.900000000000006</v>
          </cell>
        </row>
        <row r="683">
          <cell r="C683" t="str">
            <v>Control</v>
          </cell>
          <cell r="D683" t="str">
            <v>North</v>
          </cell>
          <cell r="H683">
            <v>1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P683">
            <v>48.2</v>
          </cell>
        </row>
        <row r="684">
          <cell r="C684" t="str">
            <v>Control</v>
          </cell>
          <cell r="D684" t="str">
            <v>East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P684">
            <v>42.1</v>
          </cell>
        </row>
        <row r="685">
          <cell r="C685" t="str">
            <v>Control</v>
          </cell>
          <cell r="D685" t="str">
            <v>South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P685">
            <v>27.6</v>
          </cell>
        </row>
        <row r="686">
          <cell r="C686" t="str">
            <v>Control</v>
          </cell>
          <cell r="D686" t="str">
            <v>West</v>
          </cell>
          <cell r="H686">
            <v>1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1</v>
          </cell>
          <cell r="N686">
            <v>0</v>
          </cell>
          <cell r="P686">
            <v>68.5</v>
          </cell>
        </row>
        <row r="687">
          <cell r="C687" t="str">
            <v>Control</v>
          </cell>
          <cell r="D687" t="str">
            <v>South</v>
          </cell>
          <cell r="H687">
            <v>1</v>
          </cell>
          <cell r="I687">
            <v>1</v>
          </cell>
          <cell r="J687">
            <v>1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P687">
            <v>59.2</v>
          </cell>
        </row>
        <row r="688">
          <cell r="C688" t="str">
            <v>Control</v>
          </cell>
          <cell r="D688" t="str">
            <v>North</v>
          </cell>
          <cell r="H688">
            <v>1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P688">
            <v>63.3</v>
          </cell>
        </row>
        <row r="689">
          <cell r="C689" t="str">
            <v>Control</v>
          </cell>
          <cell r="D689" t="str">
            <v>East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P689">
            <v>55</v>
          </cell>
        </row>
        <row r="690">
          <cell r="C690" t="str">
            <v>Control</v>
          </cell>
          <cell r="D690" t="str">
            <v>North</v>
          </cell>
          <cell r="H690">
            <v>1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P690">
            <v>64.8</v>
          </cell>
        </row>
        <row r="691">
          <cell r="C691" t="str">
            <v>Control</v>
          </cell>
          <cell r="D691" t="str">
            <v>South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2</v>
          </cell>
          <cell r="N691">
            <v>0</v>
          </cell>
          <cell r="P691">
            <v>41.8</v>
          </cell>
        </row>
        <row r="692">
          <cell r="C692" t="str">
            <v>Treatment</v>
          </cell>
          <cell r="D692" t="str">
            <v>East</v>
          </cell>
          <cell r="H692">
            <v>1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P692">
            <v>73.2</v>
          </cell>
        </row>
        <row r="693">
          <cell r="C693" t="str">
            <v>Treatment</v>
          </cell>
          <cell r="D693" t="str">
            <v>East</v>
          </cell>
          <cell r="H693">
            <v>1</v>
          </cell>
          <cell r="I693">
            <v>1</v>
          </cell>
          <cell r="J693">
            <v>1</v>
          </cell>
          <cell r="K693">
            <v>0</v>
          </cell>
          <cell r="L693">
            <v>0</v>
          </cell>
          <cell r="M693">
            <v>3</v>
          </cell>
          <cell r="N693">
            <v>0</v>
          </cell>
          <cell r="P693">
            <v>55.7</v>
          </cell>
        </row>
        <row r="694">
          <cell r="C694" t="str">
            <v>Treatment</v>
          </cell>
          <cell r="D694" t="str">
            <v>North</v>
          </cell>
          <cell r="H694">
            <v>1</v>
          </cell>
          <cell r="I694">
            <v>1</v>
          </cell>
          <cell r="J694">
            <v>1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P694">
            <v>82.8</v>
          </cell>
        </row>
        <row r="695">
          <cell r="C695" t="str">
            <v>Treatment</v>
          </cell>
          <cell r="D695" t="str">
            <v>North</v>
          </cell>
          <cell r="H695">
            <v>1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</row>
        <row r="696">
          <cell r="C696" t="str">
            <v>Treatment</v>
          </cell>
          <cell r="D696" t="str">
            <v>South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P696">
            <v>34.4</v>
          </cell>
        </row>
        <row r="697">
          <cell r="C697" t="str">
            <v>Treatment</v>
          </cell>
          <cell r="D697" t="str">
            <v>East</v>
          </cell>
          <cell r="H697">
            <v>1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P697">
            <v>45.2</v>
          </cell>
        </row>
        <row r="698">
          <cell r="C698" t="str">
            <v>Treatment</v>
          </cell>
          <cell r="D698" t="str">
            <v>North</v>
          </cell>
          <cell r="H698">
            <v>1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P698">
            <v>71.599999999999994</v>
          </cell>
        </row>
        <row r="699">
          <cell r="C699" t="str">
            <v>Treatment</v>
          </cell>
          <cell r="D699" t="str">
            <v>North</v>
          </cell>
          <cell r="H699">
            <v>1</v>
          </cell>
          <cell r="I699">
            <v>1</v>
          </cell>
          <cell r="J699">
            <v>1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P699">
            <v>69.099999999999994</v>
          </cell>
        </row>
        <row r="700">
          <cell r="C700" t="str">
            <v>Treatment</v>
          </cell>
          <cell r="D700" t="str">
            <v>West</v>
          </cell>
          <cell r="H700">
            <v>1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1</v>
          </cell>
          <cell r="N700">
            <v>0</v>
          </cell>
          <cell r="P700">
            <v>37.700000000000003</v>
          </cell>
        </row>
        <row r="701">
          <cell r="C701" t="str">
            <v>Treatment</v>
          </cell>
          <cell r="D701" t="str">
            <v>West</v>
          </cell>
          <cell r="H701">
            <v>1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1</v>
          </cell>
          <cell r="N701">
            <v>0</v>
          </cell>
          <cell r="P701">
            <v>60.8</v>
          </cell>
        </row>
        <row r="702">
          <cell r="C702" t="str">
            <v>Treatment</v>
          </cell>
          <cell r="D702" t="str">
            <v>North</v>
          </cell>
          <cell r="H702">
            <v>1</v>
          </cell>
          <cell r="I702">
            <v>1</v>
          </cell>
          <cell r="J702">
            <v>1</v>
          </cell>
          <cell r="K702">
            <v>1</v>
          </cell>
          <cell r="L702">
            <v>444.13</v>
          </cell>
          <cell r="M702">
            <v>0</v>
          </cell>
          <cell r="N702">
            <v>0</v>
          </cell>
          <cell r="O702">
            <v>10</v>
          </cell>
          <cell r="P702">
            <v>80.7</v>
          </cell>
        </row>
        <row r="703">
          <cell r="C703" t="str">
            <v>Treatment</v>
          </cell>
          <cell r="D703" t="str">
            <v>South</v>
          </cell>
          <cell r="H703">
            <v>1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P703">
            <v>69.2</v>
          </cell>
        </row>
        <row r="704">
          <cell r="C704" t="str">
            <v>Treatment</v>
          </cell>
          <cell r="D704" t="str">
            <v>North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3</v>
          </cell>
          <cell r="N704">
            <v>0</v>
          </cell>
          <cell r="P704">
            <v>55</v>
          </cell>
        </row>
        <row r="705">
          <cell r="C705" t="str">
            <v>Treatment</v>
          </cell>
          <cell r="D705" t="str">
            <v>West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1</v>
          </cell>
          <cell r="N705">
            <v>0</v>
          </cell>
          <cell r="P705">
            <v>73.599999999999994</v>
          </cell>
        </row>
        <row r="706">
          <cell r="C706" t="str">
            <v>Treatment</v>
          </cell>
          <cell r="D706" t="str">
            <v>South</v>
          </cell>
          <cell r="H706">
            <v>1</v>
          </cell>
          <cell r="I706">
            <v>1</v>
          </cell>
          <cell r="J706">
            <v>1</v>
          </cell>
          <cell r="K706">
            <v>0</v>
          </cell>
          <cell r="L706">
            <v>0</v>
          </cell>
          <cell r="M706">
            <v>1</v>
          </cell>
          <cell r="N706">
            <v>0</v>
          </cell>
          <cell r="P706">
            <v>47.3</v>
          </cell>
        </row>
        <row r="707">
          <cell r="C707" t="str">
            <v>Treatment</v>
          </cell>
          <cell r="D707" t="str">
            <v>North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P707">
            <v>43.6</v>
          </cell>
        </row>
        <row r="708">
          <cell r="C708" t="str">
            <v>Treatment</v>
          </cell>
          <cell r="D708" t="str">
            <v>North</v>
          </cell>
          <cell r="H708">
            <v>1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</row>
        <row r="709">
          <cell r="C709" t="str">
            <v>Treatment</v>
          </cell>
          <cell r="D709" t="str">
            <v>South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P709">
            <v>55.2</v>
          </cell>
        </row>
        <row r="710">
          <cell r="C710" t="str">
            <v>Treatment</v>
          </cell>
          <cell r="D710" t="str">
            <v>South</v>
          </cell>
          <cell r="H710">
            <v>1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P710">
            <v>49.4</v>
          </cell>
        </row>
        <row r="711">
          <cell r="C711" t="str">
            <v>Treatment</v>
          </cell>
          <cell r="D711" t="str">
            <v>South</v>
          </cell>
          <cell r="H711">
            <v>1</v>
          </cell>
          <cell r="I711">
            <v>1</v>
          </cell>
          <cell r="J711">
            <v>1</v>
          </cell>
          <cell r="K711">
            <v>0</v>
          </cell>
          <cell r="L711">
            <v>0</v>
          </cell>
          <cell r="M711">
            <v>1</v>
          </cell>
          <cell r="N711">
            <v>0</v>
          </cell>
          <cell r="P711">
            <v>60.1</v>
          </cell>
        </row>
        <row r="712">
          <cell r="C712" t="str">
            <v>Treatment</v>
          </cell>
          <cell r="D712" t="str">
            <v>North</v>
          </cell>
          <cell r="H712">
            <v>1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P712">
            <v>55.9</v>
          </cell>
        </row>
        <row r="713">
          <cell r="C713" t="str">
            <v>Treatment</v>
          </cell>
          <cell r="D713" t="str">
            <v>North</v>
          </cell>
          <cell r="H713">
            <v>1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P713">
            <v>51.5</v>
          </cell>
        </row>
        <row r="714">
          <cell r="C714" t="str">
            <v>Treatment</v>
          </cell>
          <cell r="D714" t="str">
            <v>East</v>
          </cell>
          <cell r="H714">
            <v>1</v>
          </cell>
          <cell r="I714">
            <v>1</v>
          </cell>
          <cell r="J714">
            <v>1</v>
          </cell>
          <cell r="K714">
            <v>1</v>
          </cell>
          <cell r="L714">
            <v>516.66999999999996</v>
          </cell>
          <cell r="M714">
            <v>0</v>
          </cell>
          <cell r="N714">
            <v>0</v>
          </cell>
          <cell r="O714">
            <v>11</v>
          </cell>
          <cell r="P714">
            <v>57.9</v>
          </cell>
        </row>
        <row r="715">
          <cell r="C715" t="str">
            <v>Treatment</v>
          </cell>
          <cell r="D715" t="str">
            <v>South</v>
          </cell>
          <cell r="H715">
            <v>1</v>
          </cell>
          <cell r="I715">
            <v>1</v>
          </cell>
          <cell r="J715">
            <v>1</v>
          </cell>
          <cell r="K715">
            <v>1</v>
          </cell>
          <cell r="L715">
            <v>277.18</v>
          </cell>
          <cell r="M715">
            <v>2</v>
          </cell>
          <cell r="N715">
            <v>0</v>
          </cell>
          <cell r="O715">
            <v>8</v>
          </cell>
          <cell r="P715">
            <v>59.2</v>
          </cell>
        </row>
        <row r="716">
          <cell r="C716" t="str">
            <v>Treatment</v>
          </cell>
          <cell r="D716" t="str">
            <v>South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P716">
            <v>64.2</v>
          </cell>
        </row>
        <row r="717">
          <cell r="C717" t="str">
            <v>Treatment</v>
          </cell>
          <cell r="D717" t="str">
            <v>South</v>
          </cell>
          <cell r="H717">
            <v>1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P717">
            <v>68.8</v>
          </cell>
        </row>
        <row r="718">
          <cell r="C718" t="str">
            <v>Treatment</v>
          </cell>
          <cell r="D718" t="str">
            <v>North</v>
          </cell>
          <cell r="H718">
            <v>1</v>
          </cell>
          <cell r="I718">
            <v>1</v>
          </cell>
          <cell r="J718">
            <v>1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P718">
            <v>77.900000000000006</v>
          </cell>
        </row>
        <row r="719">
          <cell r="C719" t="str">
            <v>Treatment</v>
          </cell>
          <cell r="D719" t="str">
            <v>West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P719">
            <v>92.1</v>
          </cell>
        </row>
        <row r="720">
          <cell r="C720" t="str">
            <v>Treatment</v>
          </cell>
          <cell r="D720" t="str">
            <v>West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P720">
            <v>63.6</v>
          </cell>
        </row>
        <row r="721">
          <cell r="C721" t="str">
            <v>Treatment</v>
          </cell>
          <cell r="D721" t="str">
            <v>West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2</v>
          </cell>
          <cell r="N721">
            <v>0</v>
          </cell>
          <cell r="P721">
            <v>61.6</v>
          </cell>
        </row>
        <row r="722">
          <cell r="C722" t="str">
            <v>Treatment</v>
          </cell>
          <cell r="D722" t="str">
            <v>East</v>
          </cell>
          <cell r="H722">
            <v>1</v>
          </cell>
          <cell r="I722">
            <v>1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P722">
            <v>82.3</v>
          </cell>
        </row>
        <row r="723">
          <cell r="C723" t="str">
            <v>Treatment</v>
          </cell>
          <cell r="D723" t="str">
            <v>East</v>
          </cell>
          <cell r="H723">
            <v>1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P723">
            <v>79.3</v>
          </cell>
        </row>
        <row r="724">
          <cell r="C724" t="str">
            <v>Treatment</v>
          </cell>
          <cell r="D724" t="str">
            <v>South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P724">
            <v>57.7</v>
          </cell>
        </row>
        <row r="725">
          <cell r="C725" t="str">
            <v>Treatment</v>
          </cell>
          <cell r="D725" t="str">
            <v>North</v>
          </cell>
          <cell r="H725">
            <v>1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P725">
            <v>63.1</v>
          </cell>
        </row>
        <row r="726">
          <cell r="C726" t="str">
            <v>Treatment</v>
          </cell>
          <cell r="D726" t="str">
            <v>East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P726">
            <v>72.3</v>
          </cell>
        </row>
        <row r="727">
          <cell r="C727" t="str">
            <v>Treatment</v>
          </cell>
          <cell r="D727" t="str">
            <v>East</v>
          </cell>
          <cell r="H727">
            <v>1</v>
          </cell>
          <cell r="I727">
            <v>1</v>
          </cell>
          <cell r="J727">
            <v>1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P727">
            <v>78</v>
          </cell>
        </row>
        <row r="728">
          <cell r="C728" t="str">
            <v>Treatment</v>
          </cell>
          <cell r="D728" t="str">
            <v>East</v>
          </cell>
          <cell r="H728">
            <v>1</v>
          </cell>
          <cell r="I728">
            <v>1</v>
          </cell>
          <cell r="J728">
            <v>0</v>
          </cell>
          <cell r="K728">
            <v>0</v>
          </cell>
          <cell r="L728">
            <v>0</v>
          </cell>
          <cell r="M728">
            <v>2</v>
          </cell>
          <cell r="N728">
            <v>0</v>
          </cell>
          <cell r="P728">
            <v>59.1</v>
          </cell>
        </row>
        <row r="729">
          <cell r="C729" t="str">
            <v>Treatment</v>
          </cell>
          <cell r="D729" t="str">
            <v>South</v>
          </cell>
          <cell r="H729">
            <v>1</v>
          </cell>
          <cell r="I729">
            <v>1</v>
          </cell>
          <cell r="J729">
            <v>1</v>
          </cell>
          <cell r="K729">
            <v>1</v>
          </cell>
          <cell r="L729">
            <v>604.09</v>
          </cell>
          <cell r="M729">
            <v>0</v>
          </cell>
          <cell r="N729">
            <v>0</v>
          </cell>
          <cell r="O729">
            <v>7</v>
          </cell>
          <cell r="P729">
            <v>47.1</v>
          </cell>
        </row>
        <row r="730">
          <cell r="C730" t="str">
            <v>Treatment</v>
          </cell>
          <cell r="D730" t="str">
            <v>South</v>
          </cell>
          <cell r="H730">
            <v>1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P730">
            <v>64.900000000000006</v>
          </cell>
        </row>
        <row r="731">
          <cell r="C731" t="str">
            <v>Treatment</v>
          </cell>
          <cell r="D731" t="str">
            <v>South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P731">
            <v>67.3</v>
          </cell>
        </row>
        <row r="732">
          <cell r="C732" t="str">
            <v>Treatment</v>
          </cell>
          <cell r="D732" t="str">
            <v>East</v>
          </cell>
          <cell r="H732">
            <v>1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2</v>
          </cell>
          <cell r="N732">
            <v>0</v>
          </cell>
          <cell r="P732">
            <v>52.9</v>
          </cell>
        </row>
        <row r="733">
          <cell r="C733" t="str">
            <v>Treatment</v>
          </cell>
          <cell r="D733" t="str">
            <v>North</v>
          </cell>
          <cell r="H733">
            <v>1</v>
          </cell>
          <cell r="I733">
            <v>1</v>
          </cell>
          <cell r="J733">
            <v>1</v>
          </cell>
          <cell r="K733">
            <v>1</v>
          </cell>
          <cell r="L733">
            <v>442.37</v>
          </cell>
          <cell r="M733">
            <v>1</v>
          </cell>
          <cell r="N733">
            <v>0</v>
          </cell>
          <cell r="O733">
            <v>4</v>
          </cell>
          <cell r="P733">
            <v>69.900000000000006</v>
          </cell>
        </row>
        <row r="734">
          <cell r="C734" t="str">
            <v>Treatment</v>
          </cell>
          <cell r="D734" t="str">
            <v>North</v>
          </cell>
          <cell r="H734">
            <v>1</v>
          </cell>
          <cell r="I734">
            <v>1</v>
          </cell>
          <cell r="J734">
            <v>1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P734">
            <v>78.900000000000006</v>
          </cell>
        </row>
        <row r="735">
          <cell r="C735" t="str">
            <v>Treatment</v>
          </cell>
          <cell r="D735" t="str">
            <v>East</v>
          </cell>
          <cell r="H735">
            <v>1</v>
          </cell>
          <cell r="I735">
            <v>1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P735">
            <v>83.3</v>
          </cell>
        </row>
        <row r="736">
          <cell r="C736" t="str">
            <v>Treatment</v>
          </cell>
          <cell r="D736" t="str">
            <v>East</v>
          </cell>
          <cell r="H736">
            <v>1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1</v>
          </cell>
          <cell r="N736">
            <v>0</v>
          </cell>
          <cell r="P736">
            <v>24.5</v>
          </cell>
        </row>
        <row r="737">
          <cell r="C737" t="str">
            <v>Treatment</v>
          </cell>
          <cell r="D737" t="str">
            <v>West</v>
          </cell>
          <cell r="H737">
            <v>1</v>
          </cell>
          <cell r="I737">
            <v>1</v>
          </cell>
          <cell r="J737">
            <v>0</v>
          </cell>
          <cell r="K737">
            <v>0</v>
          </cell>
          <cell r="L737">
            <v>0</v>
          </cell>
          <cell r="M737">
            <v>1</v>
          </cell>
          <cell r="N737">
            <v>0</v>
          </cell>
          <cell r="P737">
            <v>56.9</v>
          </cell>
        </row>
        <row r="738">
          <cell r="C738" t="str">
            <v>Treatment</v>
          </cell>
          <cell r="D738" t="str">
            <v>West</v>
          </cell>
          <cell r="H738">
            <v>1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P738">
            <v>69.900000000000006</v>
          </cell>
        </row>
        <row r="739">
          <cell r="C739" t="str">
            <v>Treatment</v>
          </cell>
          <cell r="D739" t="str">
            <v>South</v>
          </cell>
          <cell r="H739">
            <v>1</v>
          </cell>
          <cell r="I739">
            <v>1</v>
          </cell>
          <cell r="J739">
            <v>1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P739">
            <v>81.5</v>
          </cell>
        </row>
        <row r="740">
          <cell r="C740" t="str">
            <v>Treatment</v>
          </cell>
          <cell r="D740" t="str">
            <v>North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2</v>
          </cell>
          <cell r="N740">
            <v>0</v>
          </cell>
          <cell r="P740">
            <v>37.9</v>
          </cell>
        </row>
        <row r="741">
          <cell r="C741" t="str">
            <v>Treatment</v>
          </cell>
          <cell r="D741" t="str">
            <v>North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1</v>
          </cell>
          <cell r="N741">
            <v>0</v>
          </cell>
          <cell r="P741">
            <v>61.7</v>
          </cell>
        </row>
        <row r="742">
          <cell r="C742" t="str">
            <v>Treatment</v>
          </cell>
          <cell r="D742" t="str">
            <v>North</v>
          </cell>
          <cell r="H742">
            <v>1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2</v>
          </cell>
          <cell r="N742">
            <v>0</v>
          </cell>
          <cell r="P742">
            <v>53.2</v>
          </cell>
        </row>
        <row r="743">
          <cell r="C743" t="str">
            <v>Treatment</v>
          </cell>
          <cell r="D743" t="str">
            <v>North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P743">
            <v>61.9</v>
          </cell>
        </row>
        <row r="744">
          <cell r="C744" t="str">
            <v>Treatment</v>
          </cell>
          <cell r="D744" t="str">
            <v>North</v>
          </cell>
          <cell r="H744">
            <v>1</v>
          </cell>
          <cell r="I744">
            <v>1</v>
          </cell>
          <cell r="J744">
            <v>1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P744">
            <v>68.900000000000006</v>
          </cell>
        </row>
        <row r="745">
          <cell r="C745" t="str">
            <v>Treatment</v>
          </cell>
          <cell r="D745" t="str">
            <v>North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P745">
            <v>66.3</v>
          </cell>
        </row>
        <row r="746">
          <cell r="C746" t="str">
            <v>Treatment</v>
          </cell>
          <cell r="D746" t="str">
            <v>East</v>
          </cell>
          <cell r="H746">
            <v>1</v>
          </cell>
          <cell r="I746">
            <v>1</v>
          </cell>
          <cell r="J746">
            <v>1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P746">
            <v>54.6</v>
          </cell>
        </row>
        <row r="747">
          <cell r="C747" t="str">
            <v>Treatment</v>
          </cell>
          <cell r="D747" t="str">
            <v>South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P747">
            <v>53.8</v>
          </cell>
        </row>
        <row r="748">
          <cell r="C748" t="str">
            <v>Treatment</v>
          </cell>
          <cell r="D748" t="str">
            <v>West</v>
          </cell>
          <cell r="H748">
            <v>1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P748">
            <v>59.5</v>
          </cell>
        </row>
        <row r="749">
          <cell r="C749" t="str">
            <v>Treatment</v>
          </cell>
          <cell r="D749" t="str">
            <v>North</v>
          </cell>
          <cell r="H749">
            <v>1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P749">
            <v>52.6</v>
          </cell>
        </row>
        <row r="750">
          <cell r="C750" t="str">
            <v>Treatment</v>
          </cell>
          <cell r="D750" t="str">
            <v>South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P750">
            <v>49</v>
          </cell>
        </row>
        <row r="751">
          <cell r="C751" t="str">
            <v>Treatment</v>
          </cell>
          <cell r="D751" t="str">
            <v>North</v>
          </cell>
          <cell r="H751">
            <v>1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P751">
            <v>59.3</v>
          </cell>
        </row>
        <row r="752">
          <cell r="C752" t="str">
            <v>Treatment</v>
          </cell>
          <cell r="D752" t="str">
            <v>South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P752">
            <v>67.2</v>
          </cell>
        </row>
        <row r="753">
          <cell r="C753" t="str">
            <v>Treatment</v>
          </cell>
          <cell r="D753" t="str">
            <v>South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P753">
            <v>73.5</v>
          </cell>
        </row>
        <row r="754">
          <cell r="C754" t="str">
            <v>Treatment</v>
          </cell>
          <cell r="D754" t="str">
            <v>East</v>
          </cell>
          <cell r="H754">
            <v>1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P754">
            <v>61.2</v>
          </cell>
        </row>
        <row r="755">
          <cell r="C755" t="str">
            <v>Treatment</v>
          </cell>
          <cell r="D755" t="str">
            <v>East</v>
          </cell>
          <cell r="H755">
            <v>1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1</v>
          </cell>
          <cell r="N755">
            <v>0</v>
          </cell>
          <cell r="P755">
            <v>56.4</v>
          </cell>
        </row>
        <row r="756">
          <cell r="C756" t="str">
            <v>Treatment</v>
          </cell>
          <cell r="D756" t="str">
            <v>North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3</v>
          </cell>
          <cell r="N756">
            <v>0</v>
          </cell>
          <cell r="P756">
            <v>72.599999999999994</v>
          </cell>
        </row>
        <row r="757">
          <cell r="C757" t="str">
            <v>Treatment</v>
          </cell>
          <cell r="D757" t="str">
            <v>South</v>
          </cell>
          <cell r="H757">
            <v>1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P757">
            <v>61.7</v>
          </cell>
        </row>
        <row r="758">
          <cell r="C758" t="str">
            <v>Treatment</v>
          </cell>
          <cell r="D758" t="str">
            <v>East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1</v>
          </cell>
          <cell r="N758">
            <v>0</v>
          </cell>
          <cell r="P758">
            <v>66.900000000000006</v>
          </cell>
        </row>
        <row r="759">
          <cell r="C759" t="str">
            <v>Treatment</v>
          </cell>
          <cell r="D759" t="str">
            <v>East</v>
          </cell>
          <cell r="H759">
            <v>1</v>
          </cell>
          <cell r="I759">
            <v>1</v>
          </cell>
          <cell r="J759">
            <v>1</v>
          </cell>
          <cell r="K759">
            <v>1</v>
          </cell>
          <cell r="L759">
            <v>1506.24</v>
          </cell>
          <cell r="M759">
            <v>1</v>
          </cell>
          <cell r="N759">
            <v>0</v>
          </cell>
          <cell r="O759">
            <v>7</v>
          </cell>
          <cell r="P759">
            <v>64.900000000000006</v>
          </cell>
        </row>
        <row r="760">
          <cell r="C760" t="str">
            <v>Treatment</v>
          </cell>
          <cell r="D760" t="str">
            <v>East</v>
          </cell>
          <cell r="H760">
            <v>1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P760">
            <v>57.5</v>
          </cell>
        </row>
        <row r="761">
          <cell r="C761" t="str">
            <v>Treatment</v>
          </cell>
          <cell r="D761" t="str">
            <v>West</v>
          </cell>
          <cell r="H761">
            <v>1</v>
          </cell>
          <cell r="I761">
            <v>1</v>
          </cell>
          <cell r="J761">
            <v>1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P761">
            <v>76.3</v>
          </cell>
        </row>
        <row r="762">
          <cell r="C762" t="str">
            <v>Treatment</v>
          </cell>
          <cell r="D762" t="str">
            <v>North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P762">
            <v>47.5</v>
          </cell>
        </row>
        <row r="763">
          <cell r="C763" t="str">
            <v>Treatment</v>
          </cell>
          <cell r="D763" t="str">
            <v>South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</row>
        <row r="764">
          <cell r="C764" t="str">
            <v>Treatment</v>
          </cell>
          <cell r="D764" t="str">
            <v>West</v>
          </cell>
          <cell r="H764">
            <v>1</v>
          </cell>
          <cell r="I764">
            <v>1</v>
          </cell>
          <cell r="J764">
            <v>0</v>
          </cell>
          <cell r="K764">
            <v>0</v>
          </cell>
          <cell r="L764">
            <v>0</v>
          </cell>
          <cell r="M764">
            <v>2</v>
          </cell>
          <cell r="N764">
            <v>0</v>
          </cell>
          <cell r="P764">
            <v>71.599999999999994</v>
          </cell>
        </row>
        <row r="765">
          <cell r="C765" t="str">
            <v>Treatment</v>
          </cell>
          <cell r="D765" t="str">
            <v>South</v>
          </cell>
          <cell r="H765">
            <v>1</v>
          </cell>
          <cell r="I765">
            <v>1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P765">
            <v>55.8</v>
          </cell>
        </row>
        <row r="766">
          <cell r="C766" t="str">
            <v>Treatment</v>
          </cell>
          <cell r="D766" t="str">
            <v>South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1</v>
          </cell>
          <cell r="N766">
            <v>0</v>
          </cell>
          <cell r="P766">
            <v>60.1</v>
          </cell>
        </row>
        <row r="767">
          <cell r="C767" t="str">
            <v>Treatment</v>
          </cell>
          <cell r="D767" t="str">
            <v>West</v>
          </cell>
          <cell r="H767">
            <v>1</v>
          </cell>
          <cell r="I767">
            <v>1</v>
          </cell>
          <cell r="J767">
            <v>1</v>
          </cell>
          <cell r="K767">
            <v>0</v>
          </cell>
          <cell r="L767">
            <v>0</v>
          </cell>
          <cell r="M767">
            <v>1</v>
          </cell>
          <cell r="N767">
            <v>0</v>
          </cell>
          <cell r="P767">
            <v>59.3</v>
          </cell>
        </row>
        <row r="768">
          <cell r="C768" t="str">
            <v>Treatment</v>
          </cell>
          <cell r="D768" t="str">
            <v>North</v>
          </cell>
          <cell r="H768">
            <v>1</v>
          </cell>
          <cell r="I768">
            <v>1</v>
          </cell>
          <cell r="J768">
            <v>0</v>
          </cell>
          <cell r="K768">
            <v>0</v>
          </cell>
          <cell r="L768">
            <v>0</v>
          </cell>
          <cell r="M768">
            <v>2</v>
          </cell>
          <cell r="N768">
            <v>0</v>
          </cell>
          <cell r="P768">
            <v>49.3</v>
          </cell>
        </row>
        <row r="769">
          <cell r="C769" t="str">
            <v>Treatment</v>
          </cell>
          <cell r="D769" t="str">
            <v>East</v>
          </cell>
          <cell r="H769">
            <v>1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P769">
            <v>75</v>
          </cell>
        </row>
        <row r="770">
          <cell r="C770" t="str">
            <v>Treatment</v>
          </cell>
          <cell r="D770" t="str">
            <v>East</v>
          </cell>
          <cell r="H770">
            <v>1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P770">
            <v>70.2</v>
          </cell>
        </row>
        <row r="771">
          <cell r="C771" t="str">
            <v>Treatment</v>
          </cell>
          <cell r="D771" t="str">
            <v>South</v>
          </cell>
          <cell r="H771">
            <v>1</v>
          </cell>
          <cell r="I771">
            <v>1</v>
          </cell>
          <cell r="J771">
            <v>1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P771">
            <v>56.6</v>
          </cell>
        </row>
        <row r="772">
          <cell r="C772" t="str">
            <v>Treatment</v>
          </cell>
          <cell r="D772" t="str">
            <v>East</v>
          </cell>
          <cell r="H772">
            <v>1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P772">
            <v>65.400000000000006</v>
          </cell>
        </row>
        <row r="773">
          <cell r="C773" t="str">
            <v>Treatment</v>
          </cell>
          <cell r="D773" t="str">
            <v>East</v>
          </cell>
          <cell r="H773">
            <v>1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P773">
            <v>47.6</v>
          </cell>
        </row>
        <row r="774">
          <cell r="C774" t="str">
            <v>Treatment</v>
          </cell>
          <cell r="D774" t="str">
            <v>East</v>
          </cell>
          <cell r="H774">
            <v>1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P774">
            <v>56.7</v>
          </cell>
        </row>
        <row r="775">
          <cell r="C775" t="str">
            <v>Treatment</v>
          </cell>
          <cell r="D775" t="str">
            <v>North</v>
          </cell>
          <cell r="H775">
            <v>1</v>
          </cell>
          <cell r="I775">
            <v>1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P775">
            <v>71.400000000000006</v>
          </cell>
        </row>
        <row r="776">
          <cell r="C776" t="str">
            <v>Treatment</v>
          </cell>
          <cell r="D776" t="str">
            <v>West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2</v>
          </cell>
          <cell r="N776">
            <v>0</v>
          </cell>
          <cell r="P776">
            <v>60.5</v>
          </cell>
        </row>
        <row r="777">
          <cell r="C777" t="str">
            <v>Treatment</v>
          </cell>
          <cell r="D777" t="str">
            <v>North</v>
          </cell>
          <cell r="H777">
            <v>1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P777">
            <v>46.7</v>
          </cell>
        </row>
        <row r="778">
          <cell r="C778" t="str">
            <v>Treatment</v>
          </cell>
          <cell r="D778" t="str">
            <v>East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P778">
            <v>61</v>
          </cell>
        </row>
        <row r="779">
          <cell r="C779" t="str">
            <v>Treatment</v>
          </cell>
          <cell r="D779" t="str">
            <v>West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P779">
            <v>60.9</v>
          </cell>
        </row>
        <row r="780">
          <cell r="C780" t="str">
            <v>Treatment</v>
          </cell>
          <cell r="D780" t="str">
            <v>South</v>
          </cell>
          <cell r="H780">
            <v>1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P780">
            <v>67.099999999999994</v>
          </cell>
        </row>
        <row r="781">
          <cell r="C781" t="str">
            <v>Treatment</v>
          </cell>
          <cell r="D781" t="str">
            <v>North</v>
          </cell>
          <cell r="H781">
            <v>1</v>
          </cell>
          <cell r="I781">
            <v>1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P781">
            <v>59.6</v>
          </cell>
        </row>
        <row r="782">
          <cell r="C782" t="str">
            <v>Treatment</v>
          </cell>
          <cell r="D782" t="str">
            <v>South</v>
          </cell>
          <cell r="H782">
            <v>1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P782">
            <v>83.8</v>
          </cell>
        </row>
        <row r="783">
          <cell r="C783" t="str">
            <v>Treatment</v>
          </cell>
          <cell r="D783" t="str">
            <v>North</v>
          </cell>
          <cell r="H783">
            <v>1</v>
          </cell>
          <cell r="I783">
            <v>1</v>
          </cell>
          <cell r="J783">
            <v>1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P783">
            <v>70.8</v>
          </cell>
        </row>
        <row r="784">
          <cell r="C784" t="str">
            <v>Treatment</v>
          </cell>
          <cell r="D784" t="str">
            <v>North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P784">
            <v>65.900000000000006</v>
          </cell>
        </row>
        <row r="785">
          <cell r="C785" t="str">
            <v>Treatment</v>
          </cell>
          <cell r="D785" t="str">
            <v>West</v>
          </cell>
          <cell r="H785">
            <v>1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P785">
            <v>58</v>
          </cell>
        </row>
        <row r="786">
          <cell r="C786" t="str">
            <v>Treatment</v>
          </cell>
          <cell r="D786" t="str">
            <v>North</v>
          </cell>
          <cell r="H786">
            <v>1</v>
          </cell>
          <cell r="I786">
            <v>1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P786">
            <v>80.3</v>
          </cell>
        </row>
        <row r="787">
          <cell r="C787" t="str">
            <v>Treatment</v>
          </cell>
          <cell r="D787" t="str">
            <v>North</v>
          </cell>
          <cell r="H787">
            <v>1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P787">
            <v>55.7</v>
          </cell>
        </row>
        <row r="788">
          <cell r="C788" t="str">
            <v>Treatment</v>
          </cell>
          <cell r="D788" t="str">
            <v>North</v>
          </cell>
          <cell r="H788">
            <v>1</v>
          </cell>
          <cell r="I788">
            <v>1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P788">
            <v>84.9</v>
          </cell>
        </row>
        <row r="789">
          <cell r="C789" t="str">
            <v>Treatment</v>
          </cell>
          <cell r="D789" t="str">
            <v>North</v>
          </cell>
          <cell r="H789">
            <v>1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P789">
            <v>63.3</v>
          </cell>
        </row>
        <row r="790">
          <cell r="C790" t="str">
            <v>Treatment</v>
          </cell>
          <cell r="D790" t="str">
            <v>West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P790">
            <v>53.1</v>
          </cell>
        </row>
        <row r="791">
          <cell r="C791" t="str">
            <v>Treatment</v>
          </cell>
          <cell r="D791" t="str">
            <v>West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P791">
            <v>66</v>
          </cell>
        </row>
        <row r="792">
          <cell r="C792" t="str">
            <v>Treatment</v>
          </cell>
          <cell r="D792" t="str">
            <v>West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P792">
            <v>54.7</v>
          </cell>
        </row>
        <row r="793">
          <cell r="C793" t="str">
            <v>Treatment</v>
          </cell>
          <cell r="D793" t="str">
            <v>West</v>
          </cell>
          <cell r="H793">
            <v>1</v>
          </cell>
          <cell r="I793">
            <v>1</v>
          </cell>
          <cell r="J793">
            <v>0</v>
          </cell>
          <cell r="K793">
            <v>0</v>
          </cell>
          <cell r="L793">
            <v>0</v>
          </cell>
          <cell r="M793">
            <v>1</v>
          </cell>
          <cell r="N793">
            <v>0</v>
          </cell>
          <cell r="P793">
            <v>41.2</v>
          </cell>
        </row>
        <row r="794">
          <cell r="C794" t="str">
            <v>Treatment</v>
          </cell>
          <cell r="D794" t="str">
            <v>South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P794">
            <v>66.7</v>
          </cell>
        </row>
        <row r="795">
          <cell r="C795" t="str">
            <v>Treatment</v>
          </cell>
          <cell r="D795" t="str">
            <v>North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P795">
            <v>39.4</v>
          </cell>
        </row>
        <row r="796">
          <cell r="C796" t="str">
            <v>Treatment</v>
          </cell>
          <cell r="D796" t="str">
            <v>West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3</v>
          </cell>
          <cell r="N796">
            <v>0</v>
          </cell>
          <cell r="P796">
            <v>67</v>
          </cell>
        </row>
        <row r="797">
          <cell r="C797" t="str">
            <v>Treatment</v>
          </cell>
          <cell r="D797" t="str">
            <v>South</v>
          </cell>
          <cell r="H797">
            <v>1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P797">
            <v>50.4</v>
          </cell>
        </row>
        <row r="798">
          <cell r="C798" t="str">
            <v>Treatment</v>
          </cell>
          <cell r="D798" t="str">
            <v>West</v>
          </cell>
          <cell r="H798">
            <v>1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P798">
            <v>53.8</v>
          </cell>
        </row>
        <row r="799">
          <cell r="C799" t="str">
            <v>Treatment</v>
          </cell>
          <cell r="D799" t="str">
            <v>West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1</v>
          </cell>
          <cell r="N799">
            <v>0</v>
          </cell>
          <cell r="P799">
            <v>82.7</v>
          </cell>
        </row>
        <row r="800">
          <cell r="C800" t="str">
            <v>Treatment</v>
          </cell>
          <cell r="D800" t="str">
            <v>West</v>
          </cell>
          <cell r="H800">
            <v>1</v>
          </cell>
          <cell r="I800">
            <v>1</v>
          </cell>
          <cell r="J800">
            <v>1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P800">
            <v>63.9</v>
          </cell>
        </row>
        <row r="801">
          <cell r="C801" t="str">
            <v>Treatment</v>
          </cell>
          <cell r="D801" t="str">
            <v>West</v>
          </cell>
          <cell r="H801">
            <v>1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P801">
            <v>61.9</v>
          </cell>
        </row>
        <row r="802">
          <cell r="C802" t="str">
            <v>Treatment</v>
          </cell>
          <cell r="D802" t="str">
            <v>North</v>
          </cell>
          <cell r="H802">
            <v>1</v>
          </cell>
          <cell r="I802">
            <v>1</v>
          </cell>
          <cell r="J802">
            <v>1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P802">
            <v>75</v>
          </cell>
        </row>
        <row r="803">
          <cell r="C803" t="str">
            <v>Treatment</v>
          </cell>
          <cell r="D803" t="str">
            <v>West</v>
          </cell>
          <cell r="H803">
            <v>1</v>
          </cell>
          <cell r="I803">
            <v>1</v>
          </cell>
          <cell r="J803">
            <v>1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P803">
            <v>43</v>
          </cell>
        </row>
        <row r="804">
          <cell r="C804" t="str">
            <v>Treatment</v>
          </cell>
          <cell r="D804" t="str">
            <v>North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P804">
            <v>54.3</v>
          </cell>
        </row>
        <row r="805">
          <cell r="C805" t="str">
            <v>Treatment</v>
          </cell>
          <cell r="D805" t="str">
            <v>West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2</v>
          </cell>
          <cell r="N805">
            <v>0</v>
          </cell>
          <cell r="P805">
            <v>44.3</v>
          </cell>
        </row>
        <row r="806">
          <cell r="C806" t="str">
            <v>Treatment</v>
          </cell>
          <cell r="D806" t="str">
            <v>West</v>
          </cell>
          <cell r="H806">
            <v>1</v>
          </cell>
          <cell r="I806">
            <v>1</v>
          </cell>
          <cell r="J806">
            <v>1</v>
          </cell>
          <cell r="K806">
            <v>1</v>
          </cell>
          <cell r="L806">
            <v>402.88</v>
          </cell>
          <cell r="M806">
            <v>0</v>
          </cell>
          <cell r="N806">
            <v>0</v>
          </cell>
          <cell r="O806">
            <v>12</v>
          </cell>
          <cell r="P806">
            <v>76</v>
          </cell>
        </row>
        <row r="807">
          <cell r="C807" t="str">
            <v>Treatment</v>
          </cell>
          <cell r="D807" t="str">
            <v>South</v>
          </cell>
          <cell r="H807">
            <v>1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2</v>
          </cell>
          <cell r="N807">
            <v>0</v>
          </cell>
          <cell r="P807">
            <v>65.3</v>
          </cell>
        </row>
        <row r="808">
          <cell r="C808" t="str">
            <v>Treatment</v>
          </cell>
          <cell r="D808" t="str">
            <v>South</v>
          </cell>
          <cell r="H808">
            <v>1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P808">
            <v>71.2</v>
          </cell>
        </row>
        <row r="809">
          <cell r="C809" t="str">
            <v>Treatment</v>
          </cell>
          <cell r="D809" t="str">
            <v>South</v>
          </cell>
          <cell r="H809">
            <v>1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P809">
            <v>77.900000000000006</v>
          </cell>
        </row>
        <row r="810">
          <cell r="C810" t="str">
            <v>Treatment</v>
          </cell>
          <cell r="D810" t="str">
            <v>West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P810">
            <v>48.6</v>
          </cell>
        </row>
        <row r="811">
          <cell r="C811" t="str">
            <v>Treatment</v>
          </cell>
          <cell r="D811" t="str">
            <v>North</v>
          </cell>
          <cell r="H811">
            <v>1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P811">
            <v>61.9</v>
          </cell>
        </row>
        <row r="812">
          <cell r="C812" t="str">
            <v>Treatment</v>
          </cell>
          <cell r="D812" t="str">
            <v>North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1</v>
          </cell>
          <cell r="N812">
            <v>0</v>
          </cell>
          <cell r="P812">
            <v>58.7</v>
          </cell>
        </row>
        <row r="813">
          <cell r="C813" t="str">
            <v>Treatment</v>
          </cell>
          <cell r="D813" t="str">
            <v>South</v>
          </cell>
          <cell r="H813">
            <v>1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P813">
            <v>69.599999999999994</v>
          </cell>
        </row>
        <row r="814">
          <cell r="C814" t="str">
            <v>Treatment</v>
          </cell>
          <cell r="D814" t="str">
            <v>South</v>
          </cell>
          <cell r="H814">
            <v>1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P814">
            <v>51.5</v>
          </cell>
        </row>
        <row r="815">
          <cell r="C815" t="str">
            <v>Treatment</v>
          </cell>
          <cell r="D815" t="str">
            <v>East</v>
          </cell>
          <cell r="H815">
            <v>1</v>
          </cell>
          <cell r="I815">
            <v>1</v>
          </cell>
          <cell r="J815">
            <v>1</v>
          </cell>
          <cell r="K815">
            <v>1</v>
          </cell>
          <cell r="L815">
            <v>277.69</v>
          </cell>
          <cell r="M815">
            <v>3</v>
          </cell>
          <cell r="N815">
            <v>0</v>
          </cell>
          <cell r="O815">
            <v>8</v>
          </cell>
          <cell r="P815">
            <v>46</v>
          </cell>
        </row>
        <row r="816">
          <cell r="C816" t="str">
            <v>Treatment</v>
          </cell>
          <cell r="D816" t="str">
            <v>West</v>
          </cell>
          <cell r="H816">
            <v>1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P816">
            <v>81.7</v>
          </cell>
        </row>
        <row r="817">
          <cell r="C817" t="str">
            <v>Treatment</v>
          </cell>
          <cell r="D817" t="str">
            <v>East</v>
          </cell>
          <cell r="H817">
            <v>1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P817">
            <v>48.3</v>
          </cell>
        </row>
        <row r="818">
          <cell r="C818" t="str">
            <v>Treatment</v>
          </cell>
          <cell r="D818" t="str">
            <v>East</v>
          </cell>
          <cell r="H818">
            <v>1</v>
          </cell>
          <cell r="I818">
            <v>1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P818">
            <v>85.6</v>
          </cell>
        </row>
        <row r="819">
          <cell r="C819" t="str">
            <v>Treatment</v>
          </cell>
          <cell r="D819" t="str">
            <v>West</v>
          </cell>
          <cell r="H819">
            <v>1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P819">
            <v>53.8</v>
          </cell>
        </row>
        <row r="820">
          <cell r="C820" t="str">
            <v>Treatment</v>
          </cell>
          <cell r="D820" t="str">
            <v>South</v>
          </cell>
          <cell r="H820">
            <v>1</v>
          </cell>
          <cell r="I820">
            <v>1</v>
          </cell>
          <cell r="J820">
            <v>1</v>
          </cell>
          <cell r="K820">
            <v>1</v>
          </cell>
          <cell r="L820">
            <v>460.83</v>
          </cell>
          <cell r="M820">
            <v>2</v>
          </cell>
          <cell r="N820">
            <v>0</v>
          </cell>
          <cell r="O820">
            <v>0</v>
          </cell>
          <cell r="P820">
            <v>69.7</v>
          </cell>
        </row>
        <row r="821">
          <cell r="C821" t="str">
            <v>Treatment</v>
          </cell>
          <cell r="D821" t="str">
            <v>East</v>
          </cell>
          <cell r="H821">
            <v>1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P821">
            <v>74.8</v>
          </cell>
        </row>
        <row r="822">
          <cell r="C822" t="str">
            <v>Treatment</v>
          </cell>
          <cell r="D822" t="str">
            <v>East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P822">
            <v>87.9</v>
          </cell>
        </row>
        <row r="823">
          <cell r="C823" t="str">
            <v>Treatment</v>
          </cell>
          <cell r="D823" t="str">
            <v>North</v>
          </cell>
          <cell r="H823">
            <v>1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1</v>
          </cell>
          <cell r="N823">
            <v>0</v>
          </cell>
          <cell r="P823">
            <v>49.1</v>
          </cell>
        </row>
        <row r="824">
          <cell r="C824" t="str">
            <v>Treatment</v>
          </cell>
          <cell r="D824" t="str">
            <v>East</v>
          </cell>
          <cell r="H824">
            <v>1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2</v>
          </cell>
          <cell r="N824">
            <v>0</v>
          </cell>
          <cell r="P824">
            <v>73</v>
          </cell>
        </row>
        <row r="825">
          <cell r="C825" t="str">
            <v>Treatment</v>
          </cell>
          <cell r="D825" t="str">
            <v>West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P825">
            <v>79.5</v>
          </cell>
        </row>
        <row r="826">
          <cell r="C826" t="str">
            <v>Treatment</v>
          </cell>
          <cell r="D826" t="str">
            <v>West</v>
          </cell>
          <cell r="H826">
            <v>1</v>
          </cell>
          <cell r="I826">
            <v>1</v>
          </cell>
          <cell r="J826">
            <v>1</v>
          </cell>
          <cell r="K826">
            <v>1</v>
          </cell>
          <cell r="L826">
            <v>782.23</v>
          </cell>
          <cell r="M826">
            <v>1</v>
          </cell>
          <cell r="N826">
            <v>0</v>
          </cell>
          <cell r="O826">
            <v>6</v>
          </cell>
          <cell r="P826">
            <v>93.2</v>
          </cell>
        </row>
        <row r="827">
          <cell r="C827" t="str">
            <v>Treatment</v>
          </cell>
          <cell r="D827" t="str">
            <v>East</v>
          </cell>
          <cell r="H827">
            <v>1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3</v>
          </cell>
          <cell r="N827">
            <v>0</v>
          </cell>
          <cell r="P827">
            <v>77.5</v>
          </cell>
        </row>
        <row r="828">
          <cell r="C828" t="str">
            <v>Treatment</v>
          </cell>
          <cell r="D828" t="str">
            <v>West</v>
          </cell>
          <cell r="H828">
            <v>1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P828">
            <v>61</v>
          </cell>
        </row>
        <row r="829">
          <cell r="C829" t="str">
            <v>Treatment</v>
          </cell>
          <cell r="D829" t="str">
            <v>South</v>
          </cell>
          <cell r="H829">
            <v>1</v>
          </cell>
          <cell r="I829">
            <v>1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P829">
            <v>64.900000000000006</v>
          </cell>
        </row>
        <row r="830">
          <cell r="C830" t="str">
            <v>Treatment</v>
          </cell>
          <cell r="D830" t="str">
            <v>East</v>
          </cell>
          <cell r="H830">
            <v>1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P830">
            <v>87.5</v>
          </cell>
        </row>
        <row r="831">
          <cell r="C831" t="str">
            <v>Treatment</v>
          </cell>
          <cell r="D831" t="str">
            <v>North</v>
          </cell>
          <cell r="H831">
            <v>1</v>
          </cell>
          <cell r="I831">
            <v>1</v>
          </cell>
          <cell r="J831">
            <v>1</v>
          </cell>
          <cell r="K831">
            <v>1</v>
          </cell>
          <cell r="L831">
            <v>1171.99</v>
          </cell>
          <cell r="M831">
            <v>0</v>
          </cell>
          <cell r="N831">
            <v>0</v>
          </cell>
          <cell r="O831">
            <v>5</v>
          </cell>
          <cell r="P831">
            <v>80.599999999999994</v>
          </cell>
        </row>
        <row r="832">
          <cell r="C832" t="str">
            <v>Treatment</v>
          </cell>
          <cell r="D832" t="str">
            <v>West</v>
          </cell>
          <cell r="H832">
            <v>1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P832">
            <v>66.900000000000006</v>
          </cell>
        </row>
        <row r="833">
          <cell r="C833" t="str">
            <v>Treatment</v>
          </cell>
          <cell r="D833" t="str">
            <v>South</v>
          </cell>
          <cell r="H833">
            <v>1</v>
          </cell>
          <cell r="I833">
            <v>1</v>
          </cell>
          <cell r="J833">
            <v>1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P833">
            <v>58.8</v>
          </cell>
        </row>
        <row r="834">
          <cell r="C834" t="str">
            <v>Treatment</v>
          </cell>
          <cell r="D834" t="str">
            <v>North</v>
          </cell>
          <cell r="H834">
            <v>1</v>
          </cell>
          <cell r="I834">
            <v>1</v>
          </cell>
          <cell r="J834">
            <v>1</v>
          </cell>
          <cell r="K834">
            <v>1</v>
          </cell>
          <cell r="L834">
            <v>1010.4</v>
          </cell>
          <cell r="M834">
            <v>0</v>
          </cell>
          <cell r="N834">
            <v>0</v>
          </cell>
          <cell r="O834">
            <v>4</v>
          </cell>
          <cell r="P834">
            <v>42.9</v>
          </cell>
        </row>
        <row r="835">
          <cell r="C835" t="str">
            <v>Treatment</v>
          </cell>
          <cell r="D835" t="str">
            <v>East</v>
          </cell>
          <cell r="H835">
            <v>1</v>
          </cell>
          <cell r="I835">
            <v>1</v>
          </cell>
          <cell r="J835">
            <v>1</v>
          </cell>
          <cell r="K835">
            <v>0</v>
          </cell>
          <cell r="L835">
            <v>0</v>
          </cell>
          <cell r="M835">
            <v>1</v>
          </cell>
          <cell r="N835">
            <v>0</v>
          </cell>
          <cell r="P835">
            <v>60.2</v>
          </cell>
        </row>
        <row r="836">
          <cell r="C836" t="str">
            <v>Treatment</v>
          </cell>
          <cell r="D836" t="str">
            <v>East</v>
          </cell>
          <cell r="H836">
            <v>1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P836">
            <v>42.7</v>
          </cell>
        </row>
        <row r="837">
          <cell r="C837" t="str">
            <v>Treatment</v>
          </cell>
          <cell r="D837" t="str">
            <v>North</v>
          </cell>
          <cell r="H837">
            <v>1</v>
          </cell>
          <cell r="I837">
            <v>1</v>
          </cell>
          <cell r="J837">
            <v>1</v>
          </cell>
          <cell r="K837">
            <v>1</v>
          </cell>
          <cell r="L837">
            <v>431.27</v>
          </cell>
          <cell r="M837">
            <v>0</v>
          </cell>
          <cell r="N837">
            <v>0</v>
          </cell>
          <cell r="O837">
            <v>7</v>
          </cell>
          <cell r="P837">
            <v>60.8</v>
          </cell>
        </row>
        <row r="838">
          <cell r="C838" t="str">
            <v>Treatment</v>
          </cell>
          <cell r="D838" t="str">
            <v>South</v>
          </cell>
          <cell r="H838">
            <v>1</v>
          </cell>
          <cell r="I838">
            <v>1</v>
          </cell>
          <cell r="J838">
            <v>1</v>
          </cell>
          <cell r="K838">
            <v>1</v>
          </cell>
          <cell r="L838">
            <v>428.8</v>
          </cell>
          <cell r="M838">
            <v>0</v>
          </cell>
          <cell r="N838">
            <v>0</v>
          </cell>
          <cell r="O838">
            <v>9</v>
          </cell>
          <cell r="P838">
            <v>79.3</v>
          </cell>
        </row>
        <row r="839">
          <cell r="C839" t="str">
            <v>Treatment</v>
          </cell>
          <cell r="D839" t="str">
            <v>South</v>
          </cell>
          <cell r="H839">
            <v>1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1</v>
          </cell>
          <cell r="N839">
            <v>0</v>
          </cell>
          <cell r="P839">
            <v>88.6</v>
          </cell>
        </row>
        <row r="840">
          <cell r="C840" t="str">
            <v>Treatment</v>
          </cell>
          <cell r="D840" t="str">
            <v>West</v>
          </cell>
          <cell r="H840">
            <v>1</v>
          </cell>
          <cell r="I840">
            <v>1</v>
          </cell>
          <cell r="J840">
            <v>1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P840">
            <v>63.1</v>
          </cell>
        </row>
        <row r="841">
          <cell r="C841" t="str">
            <v>Treatment</v>
          </cell>
          <cell r="D841" t="str">
            <v>East</v>
          </cell>
          <cell r="H841">
            <v>1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P841">
            <v>39.700000000000003</v>
          </cell>
        </row>
        <row r="842">
          <cell r="C842" t="str">
            <v>Treatment</v>
          </cell>
          <cell r="D842" t="str">
            <v>North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P842">
            <v>67.2</v>
          </cell>
        </row>
        <row r="843">
          <cell r="C843" t="str">
            <v>Treatment</v>
          </cell>
          <cell r="D843" t="str">
            <v>South</v>
          </cell>
          <cell r="H843">
            <v>1</v>
          </cell>
          <cell r="I843">
            <v>1</v>
          </cell>
          <cell r="J843">
            <v>1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P843">
            <v>62.3</v>
          </cell>
        </row>
        <row r="844">
          <cell r="C844" t="str">
            <v>Treatment</v>
          </cell>
          <cell r="D844" t="str">
            <v>South</v>
          </cell>
          <cell r="H844">
            <v>1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</row>
        <row r="845">
          <cell r="C845" t="str">
            <v>Treatment</v>
          </cell>
          <cell r="D845" t="str">
            <v>South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P845">
            <v>60.7</v>
          </cell>
        </row>
        <row r="846">
          <cell r="C846" t="str">
            <v>Treatment</v>
          </cell>
          <cell r="D846" t="str">
            <v>West</v>
          </cell>
          <cell r="H846">
            <v>1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P846">
            <v>61.5</v>
          </cell>
        </row>
        <row r="847">
          <cell r="C847" t="str">
            <v>Treatment</v>
          </cell>
          <cell r="D847" t="str">
            <v>North</v>
          </cell>
          <cell r="H847">
            <v>1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P847">
            <v>75</v>
          </cell>
        </row>
        <row r="848">
          <cell r="C848" t="str">
            <v>Treatment</v>
          </cell>
          <cell r="D848" t="str">
            <v>East</v>
          </cell>
          <cell r="H848">
            <v>1</v>
          </cell>
          <cell r="I848">
            <v>1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P848">
            <v>51.9</v>
          </cell>
        </row>
        <row r="849">
          <cell r="C849" t="str">
            <v>Treatment</v>
          </cell>
          <cell r="D849" t="str">
            <v>South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P849">
            <v>34.5</v>
          </cell>
        </row>
        <row r="850">
          <cell r="C850" t="str">
            <v>Treatment</v>
          </cell>
          <cell r="D850" t="str">
            <v>South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P850">
            <v>54.5</v>
          </cell>
        </row>
        <row r="851">
          <cell r="C851" t="str">
            <v>Treatment</v>
          </cell>
          <cell r="D851" t="str">
            <v>East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P851">
            <v>46</v>
          </cell>
        </row>
        <row r="852">
          <cell r="C852" t="str">
            <v>Treatment</v>
          </cell>
          <cell r="D852" t="str">
            <v>East</v>
          </cell>
          <cell r="H852">
            <v>1</v>
          </cell>
          <cell r="I852">
            <v>1</v>
          </cell>
          <cell r="J852">
            <v>1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P852">
            <v>88.4</v>
          </cell>
        </row>
        <row r="853">
          <cell r="C853" t="str">
            <v>Treatment</v>
          </cell>
          <cell r="D853" t="str">
            <v>North</v>
          </cell>
          <cell r="H853">
            <v>1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P853">
            <v>69.5</v>
          </cell>
        </row>
        <row r="854">
          <cell r="C854" t="str">
            <v>Treatment</v>
          </cell>
          <cell r="D854" t="str">
            <v>North</v>
          </cell>
          <cell r="H854">
            <v>1</v>
          </cell>
          <cell r="I854">
            <v>1</v>
          </cell>
          <cell r="J854">
            <v>1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P854">
            <v>74.2</v>
          </cell>
        </row>
        <row r="855">
          <cell r="C855" t="str">
            <v>Treatment</v>
          </cell>
          <cell r="D855" t="str">
            <v>North</v>
          </cell>
          <cell r="H855">
            <v>1</v>
          </cell>
          <cell r="I855">
            <v>1</v>
          </cell>
          <cell r="J855">
            <v>1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P855">
            <v>72.099999999999994</v>
          </cell>
        </row>
        <row r="856">
          <cell r="C856" t="str">
            <v>Treatment</v>
          </cell>
          <cell r="D856" t="str">
            <v>North</v>
          </cell>
          <cell r="H856">
            <v>1</v>
          </cell>
          <cell r="I856">
            <v>1</v>
          </cell>
          <cell r="J856">
            <v>1</v>
          </cell>
          <cell r="K856">
            <v>1</v>
          </cell>
          <cell r="L856">
            <v>398.33</v>
          </cell>
          <cell r="M856">
            <v>0</v>
          </cell>
          <cell r="N856">
            <v>0</v>
          </cell>
          <cell r="O856">
            <v>5</v>
          </cell>
          <cell r="P856">
            <v>85.1</v>
          </cell>
        </row>
        <row r="857">
          <cell r="C857" t="str">
            <v>Treatment</v>
          </cell>
          <cell r="D857" t="str">
            <v>North</v>
          </cell>
          <cell r="H857">
            <v>1</v>
          </cell>
          <cell r="I857">
            <v>1</v>
          </cell>
          <cell r="J857">
            <v>1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P857">
            <v>49.5</v>
          </cell>
        </row>
        <row r="858">
          <cell r="C858" t="str">
            <v>Treatment</v>
          </cell>
          <cell r="D858" t="str">
            <v>South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1</v>
          </cell>
          <cell r="N858">
            <v>0</v>
          </cell>
          <cell r="P858">
            <v>79</v>
          </cell>
        </row>
        <row r="859">
          <cell r="C859" t="str">
            <v>Treatment</v>
          </cell>
          <cell r="D859" t="str">
            <v>West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P859">
            <v>71.8</v>
          </cell>
        </row>
        <row r="860">
          <cell r="C860" t="str">
            <v>Treatment</v>
          </cell>
          <cell r="D860" t="str">
            <v>North</v>
          </cell>
          <cell r="H860">
            <v>1</v>
          </cell>
          <cell r="I860">
            <v>1</v>
          </cell>
          <cell r="J860">
            <v>1</v>
          </cell>
          <cell r="K860">
            <v>1</v>
          </cell>
          <cell r="L860">
            <v>1117.54</v>
          </cell>
          <cell r="M860">
            <v>0</v>
          </cell>
          <cell r="N860">
            <v>0</v>
          </cell>
          <cell r="O860">
            <v>6</v>
          </cell>
          <cell r="P860">
            <v>60.4</v>
          </cell>
        </row>
        <row r="861">
          <cell r="C861" t="str">
            <v>Treatment</v>
          </cell>
          <cell r="D861" t="str">
            <v>South</v>
          </cell>
          <cell r="H861">
            <v>1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2</v>
          </cell>
          <cell r="N861">
            <v>0</v>
          </cell>
          <cell r="P861">
            <v>38.299999999999997</v>
          </cell>
        </row>
        <row r="862">
          <cell r="C862" t="str">
            <v>Treatment</v>
          </cell>
          <cell r="D862" t="str">
            <v>East</v>
          </cell>
          <cell r="H862">
            <v>1</v>
          </cell>
          <cell r="I862">
            <v>1</v>
          </cell>
          <cell r="J862">
            <v>1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P862">
            <v>79.599999999999994</v>
          </cell>
        </row>
        <row r="863">
          <cell r="C863" t="str">
            <v>Treatment</v>
          </cell>
          <cell r="D863" t="str">
            <v>East</v>
          </cell>
          <cell r="H863">
            <v>1</v>
          </cell>
          <cell r="I863">
            <v>1</v>
          </cell>
          <cell r="J863">
            <v>1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P863">
            <v>71.900000000000006</v>
          </cell>
        </row>
        <row r="864">
          <cell r="C864" t="str">
            <v>Treatment</v>
          </cell>
          <cell r="D864" t="str">
            <v>South</v>
          </cell>
          <cell r="H864">
            <v>1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P864">
            <v>54.6</v>
          </cell>
        </row>
        <row r="865">
          <cell r="C865" t="str">
            <v>Treatment</v>
          </cell>
          <cell r="D865" t="str">
            <v>North</v>
          </cell>
          <cell r="H865">
            <v>1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3</v>
          </cell>
          <cell r="N865">
            <v>0</v>
          </cell>
          <cell r="P865">
            <v>49.3</v>
          </cell>
        </row>
        <row r="866">
          <cell r="C866" t="str">
            <v>Treatment</v>
          </cell>
          <cell r="D866" t="str">
            <v>North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1</v>
          </cell>
          <cell r="N866">
            <v>0</v>
          </cell>
          <cell r="P866">
            <v>66.900000000000006</v>
          </cell>
        </row>
        <row r="867">
          <cell r="C867" t="str">
            <v>Treatment</v>
          </cell>
          <cell r="D867" t="str">
            <v>East</v>
          </cell>
          <cell r="H867">
            <v>1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1</v>
          </cell>
          <cell r="N867">
            <v>0</v>
          </cell>
          <cell r="P867">
            <v>77.8</v>
          </cell>
        </row>
        <row r="868">
          <cell r="C868" t="str">
            <v>Treatment</v>
          </cell>
          <cell r="D868" t="str">
            <v>South</v>
          </cell>
          <cell r="H868">
            <v>1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P868">
            <v>63</v>
          </cell>
        </row>
        <row r="869">
          <cell r="C869" t="str">
            <v>Treatment</v>
          </cell>
          <cell r="D869" t="str">
            <v>North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P869">
            <v>79.8</v>
          </cell>
        </row>
        <row r="870">
          <cell r="C870" t="str">
            <v>Treatment</v>
          </cell>
          <cell r="D870" t="str">
            <v>West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P870">
            <v>69.900000000000006</v>
          </cell>
        </row>
        <row r="871">
          <cell r="C871" t="str">
            <v>Treatment</v>
          </cell>
          <cell r="D871" t="str">
            <v>West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1</v>
          </cell>
          <cell r="N871">
            <v>0</v>
          </cell>
          <cell r="P871">
            <v>66.400000000000006</v>
          </cell>
        </row>
        <row r="872">
          <cell r="C872" t="str">
            <v>Treatment</v>
          </cell>
          <cell r="D872" t="str">
            <v>East</v>
          </cell>
          <cell r="H872">
            <v>1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P872">
            <v>27.6</v>
          </cell>
        </row>
        <row r="873">
          <cell r="C873" t="str">
            <v>Treatment</v>
          </cell>
          <cell r="D873" t="str">
            <v>West</v>
          </cell>
          <cell r="H873">
            <v>1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1</v>
          </cell>
          <cell r="N873">
            <v>0</v>
          </cell>
          <cell r="P873">
            <v>56.5</v>
          </cell>
        </row>
        <row r="874">
          <cell r="C874" t="str">
            <v>Treatment</v>
          </cell>
          <cell r="D874" t="str">
            <v>West</v>
          </cell>
          <cell r="H874">
            <v>1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P874">
            <v>67.8</v>
          </cell>
        </row>
        <row r="875">
          <cell r="C875" t="str">
            <v>Treatment</v>
          </cell>
          <cell r="D875" t="str">
            <v>West</v>
          </cell>
          <cell r="H875">
            <v>1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P875">
            <v>80</v>
          </cell>
        </row>
        <row r="876">
          <cell r="C876" t="str">
            <v>Treatment</v>
          </cell>
          <cell r="D876" t="str">
            <v>South</v>
          </cell>
          <cell r="H876">
            <v>1</v>
          </cell>
          <cell r="I876">
            <v>1</v>
          </cell>
          <cell r="J876">
            <v>1</v>
          </cell>
          <cell r="K876">
            <v>0</v>
          </cell>
          <cell r="L876">
            <v>0</v>
          </cell>
          <cell r="M876">
            <v>1</v>
          </cell>
          <cell r="N876">
            <v>0</v>
          </cell>
          <cell r="P876">
            <v>80.900000000000006</v>
          </cell>
        </row>
        <row r="877">
          <cell r="C877" t="str">
            <v>Treatment</v>
          </cell>
          <cell r="D877" t="str">
            <v>West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P877">
            <v>34.5</v>
          </cell>
        </row>
        <row r="878">
          <cell r="C878" t="str">
            <v>Treatment</v>
          </cell>
          <cell r="D878" t="str">
            <v>East</v>
          </cell>
          <cell r="H878">
            <v>1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P878">
            <v>73.5</v>
          </cell>
        </row>
        <row r="879">
          <cell r="C879" t="str">
            <v>Treatment</v>
          </cell>
          <cell r="D879" t="str">
            <v>South</v>
          </cell>
          <cell r="H879">
            <v>1</v>
          </cell>
          <cell r="I879">
            <v>1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P879">
            <v>70</v>
          </cell>
        </row>
        <row r="880">
          <cell r="C880" t="str">
            <v>Treatment</v>
          </cell>
          <cell r="D880" t="str">
            <v>West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P880">
            <v>86.9</v>
          </cell>
        </row>
        <row r="881">
          <cell r="C881" t="str">
            <v>Treatment</v>
          </cell>
          <cell r="D881" t="str">
            <v>East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P881">
            <v>66.900000000000006</v>
          </cell>
        </row>
        <row r="882">
          <cell r="C882" t="str">
            <v>Treatment</v>
          </cell>
          <cell r="D882" t="str">
            <v>South</v>
          </cell>
          <cell r="H882">
            <v>1</v>
          </cell>
          <cell r="I882">
            <v>1</v>
          </cell>
          <cell r="J882">
            <v>1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P882">
            <v>58.3</v>
          </cell>
        </row>
        <row r="883">
          <cell r="C883" t="str">
            <v>Treatment</v>
          </cell>
          <cell r="D883" t="str">
            <v>East</v>
          </cell>
          <cell r="H883">
            <v>1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P883">
            <v>45</v>
          </cell>
        </row>
        <row r="884">
          <cell r="C884" t="str">
            <v>Treatment</v>
          </cell>
          <cell r="D884" t="str">
            <v>South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P884">
            <v>60.8</v>
          </cell>
        </row>
        <row r="885">
          <cell r="C885" t="str">
            <v>Treatment</v>
          </cell>
          <cell r="D885" t="str">
            <v>North</v>
          </cell>
          <cell r="H885">
            <v>1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4</v>
          </cell>
          <cell r="N885">
            <v>0</v>
          </cell>
          <cell r="P885">
            <v>53.7</v>
          </cell>
        </row>
        <row r="886">
          <cell r="C886" t="str">
            <v>Treatment</v>
          </cell>
          <cell r="D886" t="str">
            <v>East</v>
          </cell>
          <cell r="H886">
            <v>1</v>
          </cell>
          <cell r="I886">
            <v>1</v>
          </cell>
          <cell r="J886">
            <v>1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P886">
            <v>48.8</v>
          </cell>
        </row>
        <row r="887">
          <cell r="C887" t="str">
            <v>Treatment</v>
          </cell>
          <cell r="D887" t="str">
            <v>West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P887">
            <v>52.9</v>
          </cell>
        </row>
        <row r="888">
          <cell r="C888" t="str">
            <v>Treatment</v>
          </cell>
          <cell r="D888" t="str">
            <v>South</v>
          </cell>
          <cell r="H888">
            <v>1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P888">
            <v>42.4</v>
          </cell>
        </row>
        <row r="889">
          <cell r="C889" t="str">
            <v>Treatment</v>
          </cell>
          <cell r="D889" t="str">
            <v>East</v>
          </cell>
          <cell r="H889">
            <v>1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P889">
            <v>58.7</v>
          </cell>
        </row>
        <row r="890">
          <cell r="C890" t="str">
            <v>Treatment</v>
          </cell>
          <cell r="D890" t="str">
            <v>North</v>
          </cell>
          <cell r="H890">
            <v>1</v>
          </cell>
          <cell r="I890">
            <v>1</v>
          </cell>
          <cell r="J890">
            <v>1</v>
          </cell>
          <cell r="K890">
            <v>1</v>
          </cell>
          <cell r="L890">
            <v>2064.5500000000002</v>
          </cell>
          <cell r="M890">
            <v>0</v>
          </cell>
          <cell r="N890">
            <v>0</v>
          </cell>
          <cell r="O890">
            <v>1</v>
          </cell>
          <cell r="P890">
            <v>67.8</v>
          </cell>
        </row>
        <row r="891">
          <cell r="C891" t="str">
            <v>Treatment</v>
          </cell>
          <cell r="D891" t="str">
            <v>South</v>
          </cell>
          <cell r="H891">
            <v>1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P891">
            <v>62.6</v>
          </cell>
        </row>
        <row r="892">
          <cell r="C892" t="str">
            <v>Treatment</v>
          </cell>
          <cell r="D892" t="str">
            <v>West</v>
          </cell>
          <cell r="H892">
            <v>1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P892">
            <v>82.4</v>
          </cell>
        </row>
        <row r="893">
          <cell r="C893" t="str">
            <v>Treatment</v>
          </cell>
          <cell r="D893" t="str">
            <v>North</v>
          </cell>
          <cell r="H893">
            <v>1</v>
          </cell>
          <cell r="I893">
            <v>1</v>
          </cell>
          <cell r="J893">
            <v>1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P893">
            <v>50.4</v>
          </cell>
        </row>
        <row r="894">
          <cell r="C894" t="str">
            <v>Treatment</v>
          </cell>
          <cell r="D894" t="str">
            <v>North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P894">
            <v>68.400000000000006</v>
          </cell>
        </row>
        <row r="895">
          <cell r="C895" t="str">
            <v>Treatment</v>
          </cell>
          <cell r="D895" t="str">
            <v>West</v>
          </cell>
          <cell r="H895">
            <v>1</v>
          </cell>
          <cell r="I895">
            <v>1</v>
          </cell>
          <cell r="J895">
            <v>1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P895">
            <v>58.8</v>
          </cell>
        </row>
        <row r="896">
          <cell r="C896" t="str">
            <v>Treatment</v>
          </cell>
          <cell r="D896" t="str">
            <v>West</v>
          </cell>
          <cell r="H896">
            <v>1</v>
          </cell>
          <cell r="I896">
            <v>1</v>
          </cell>
          <cell r="J896">
            <v>0</v>
          </cell>
          <cell r="K896">
            <v>0</v>
          </cell>
          <cell r="L896">
            <v>0</v>
          </cell>
          <cell r="M896">
            <v>2</v>
          </cell>
          <cell r="N896">
            <v>0</v>
          </cell>
          <cell r="P896">
            <v>28.3</v>
          </cell>
        </row>
        <row r="897">
          <cell r="C897" t="str">
            <v>Treatment</v>
          </cell>
          <cell r="D897" t="str">
            <v>West</v>
          </cell>
          <cell r="H897">
            <v>1</v>
          </cell>
          <cell r="I897">
            <v>1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P897">
            <v>44.1</v>
          </cell>
        </row>
        <row r="898">
          <cell r="C898" t="str">
            <v>Treatment</v>
          </cell>
          <cell r="D898" t="str">
            <v>South</v>
          </cell>
          <cell r="H898">
            <v>1</v>
          </cell>
          <cell r="I898">
            <v>1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P898">
            <v>66.7</v>
          </cell>
        </row>
        <row r="899">
          <cell r="C899" t="str">
            <v>Treatment</v>
          </cell>
          <cell r="D899" t="str">
            <v>South</v>
          </cell>
          <cell r="H899">
            <v>1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P899">
            <v>100</v>
          </cell>
        </row>
        <row r="900">
          <cell r="C900" t="str">
            <v>Treatment</v>
          </cell>
          <cell r="D900" t="str">
            <v>South</v>
          </cell>
          <cell r="H900">
            <v>1</v>
          </cell>
          <cell r="I900">
            <v>1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P900">
            <v>87.5</v>
          </cell>
        </row>
        <row r="901">
          <cell r="C901" t="str">
            <v>Treatment</v>
          </cell>
          <cell r="D901" t="str">
            <v>North</v>
          </cell>
          <cell r="H901">
            <v>1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2</v>
          </cell>
          <cell r="N901">
            <v>0</v>
          </cell>
          <cell r="P901">
            <v>65.400000000000006</v>
          </cell>
        </row>
        <row r="902">
          <cell r="C902" t="str">
            <v>Treatment</v>
          </cell>
          <cell r="D902" t="str">
            <v>South</v>
          </cell>
          <cell r="H902">
            <v>1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P902">
            <v>22.9</v>
          </cell>
        </row>
        <row r="903">
          <cell r="C903" t="str">
            <v>Treatment</v>
          </cell>
          <cell r="D903" t="str">
            <v>West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P903">
            <v>64.599999999999994</v>
          </cell>
        </row>
        <row r="904">
          <cell r="C904" t="str">
            <v>Treatment</v>
          </cell>
          <cell r="D904" t="str">
            <v>South</v>
          </cell>
          <cell r="H904">
            <v>1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2</v>
          </cell>
          <cell r="N904">
            <v>0</v>
          </cell>
          <cell r="P904">
            <v>54.4</v>
          </cell>
        </row>
        <row r="905">
          <cell r="C905" t="str">
            <v>Treatment</v>
          </cell>
          <cell r="D905" t="str">
            <v>North</v>
          </cell>
          <cell r="H905">
            <v>1</v>
          </cell>
          <cell r="I905">
            <v>1</v>
          </cell>
          <cell r="J905">
            <v>1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P905">
            <v>56.8</v>
          </cell>
        </row>
        <row r="906">
          <cell r="C906" t="str">
            <v>Treatment</v>
          </cell>
          <cell r="D906" t="str">
            <v>South</v>
          </cell>
          <cell r="H906">
            <v>1</v>
          </cell>
          <cell r="I906">
            <v>1</v>
          </cell>
          <cell r="J906">
            <v>1</v>
          </cell>
          <cell r="K906">
            <v>1</v>
          </cell>
          <cell r="L906">
            <v>341.38</v>
          </cell>
          <cell r="M906">
            <v>0</v>
          </cell>
          <cell r="N906">
            <v>0</v>
          </cell>
          <cell r="O906">
            <v>2</v>
          </cell>
          <cell r="P906">
            <v>63.6</v>
          </cell>
        </row>
        <row r="907">
          <cell r="C907" t="str">
            <v>Treatment</v>
          </cell>
          <cell r="D907" t="str">
            <v>East</v>
          </cell>
          <cell r="H907">
            <v>1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P907">
            <v>58.2</v>
          </cell>
        </row>
        <row r="908">
          <cell r="C908" t="str">
            <v>Treatment</v>
          </cell>
          <cell r="D908" t="str">
            <v>West</v>
          </cell>
          <cell r="H908">
            <v>1</v>
          </cell>
          <cell r="I908">
            <v>1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P908">
            <v>54.6</v>
          </cell>
        </row>
        <row r="909">
          <cell r="C909" t="str">
            <v>Treatment</v>
          </cell>
          <cell r="D909" t="str">
            <v>West</v>
          </cell>
          <cell r="H909">
            <v>1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P909">
            <v>81.900000000000006</v>
          </cell>
        </row>
        <row r="910">
          <cell r="C910" t="str">
            <v>Treatment</v>
          </cell>
          <cell r="D910" t="str">
            <v>West</v>
          </cell>
          <cell r="H910">
            <v>1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3</v>
          </cell>
          <cell r="N910">
            <v>0</v>
          </cell>
          <cell r="P910">
            <v>53.3</v>
          </cell>
        </row>
        <row r="911">
          <cell r="C911" t="str">
            <v>Treatment</v>
          </cell>
          <cell r="D911" t="str">
            <v>North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P911">
            <v>54.2</v>
          </cell>
        </row>
        <row r="912">
          <cell r="C912" t="str">
            <v>Treatment</v>
          </cell>
          <cell r="D912" t="str">
            <v>North</v>
          </cell>
          <cell r="H912">
            <v>1</v>
          </cell>
          <cell r="I912">
            <v>1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P912">
            <v>65.599999999999994</v>
          </cell>
        </row>
        <row r="913">
          <cell r="C913" t="str">
            <v>Treatment</v>
          </cell>
          <cell r="D913" t="str">
            <v>East</v>
          </cell>
          <cell r="H913">
            <v>1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1</v>
          </cell>
          <cell r="N913">
            <v>0</v>
          </cell>
          <cell r="P913">
            <v>56.5</v>
          </cell>
        </row>
        <row r="914">
          <cell r="C914" t="str">
            <v>Treatment</v>
          </cell>
          <cell r="D914" t="str">
            <v>North</v>
          </cell>
          <cell r="H914">
            <v>1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P914">
            <v>59.7</v>
          </cell>
        </row>
        <row r="915">
          <cell r="C915" t="str">
            <v>Treatment</v>
          </cell>
          <cell r="D915" t="str">
            <v>South</v>
          </cell>
          <cell r="H915">
            <v>1</v>
          </cell>
          <cell r="I915">
            <v>1</v>
          </cell>
          <cell r="J915">
            <v>1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P915">
            <v>72.5</v>
          </cell>
        </row>
        <row r="916">
          <cell r="C916" t="str">
            <v>Treatment</v>
          </cell>
          <cell r="D916" t="str">
            <v>East</v>
          </cell>
          <cell r="H916">
            <v>1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P916">
            <v>64.3</v>
          </cell>
        </row>
        <row r="917">
          <cell r="C917" t="str">
            <v>Treatment</v>
          </cell>
          <cell r="D917" t="str">
            <v>South</v>
          </cell>
          <cell r="H917">
            <v>1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P917">
            <v>64.5</v>
          </cell>
        </row>
        <row r="918">
          <cell r="C918" t="str">
            <v>Treatment</v>
          </cell>
          <cell r="D918" t="str">
            <v>West</v>
          </cell>
          <cell r="H918">
            <v>1</v>
          </cell>
          <cell r="I918">
            <v>1</v>
          </cell>
          <cell r="J918">
            <v>1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P918">
            <v>70.599999999999994</v>
          </cell>
        </row>
        <row r="919">
          <cell r="C919" t="str">
            <v>Treatment</v>
          </cell>
          <cell r="D919" t="str">
            <v>South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P919">
            <v>58.4</v>
          </cell>
        </row>
        <row r="920">
          <cell r="C920" t="str">
            <v>Treatment</v>
          </cell>
          <cell r="D920" t="str">
            <v>East</v>
          </cell>
          <cell r="H920">
            <v>1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P920">
            <v>56.6</v>
          </cell>
        </row>
        <row r="921">
          <cell r="C921" t="str">
            <v>Treatment</v>
          </cell>
          <cell r="D921" t="str">
            <v>South</v>
          </cell>
          <cell r="H921">
            <v>1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P921">
            <v>61.8</v>
          </cell>
        </row>
        <row r="922">
          <cell r="C922" t="str">
            <v>Treatment</v>
          </cell>
          <cell r="D922" t="str">
            <v>West</v>
          </cell>
          <cell r="H922">
            <v>1</v>
          </cell>
          <cell r="I922">
            <v>1</v>
          </cell>
          <cell r="J922">
            <v>1</v>
          </cell>
          <cell r="K922">
            <v>1</v>
          </cell>
          <cell r="L922">
            <v>513.52</v>
          </cell>
          <cell r="M922">
            <v>0</v>
          </cell>
          <cell r="N922">
            <v>0</v>
          </cell>
          <cell r="O922">
            <v>8</v>
          </cell>
          <cell r="P922">
            <v>43.4</v>
          </cell>
        </row>
        <row r="923">
          <cell r="C923" t="str">
            <v>Treatment</v>
          </cell>
          <cell r="D923" t="str">
            <v>West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P923">
            <v>43</v>
          </cell>
        </row>
        <row r="924">
          <cell r="C924" t="str">
            <v>Treatment</v>
          </cell>
          <cell r="D924" t="str">
            <v>North</v>
          </cell>
          <cell r="H924">
            <v>1</v>
          </cell>
          <cell r="I924">
            <v>1</v>
          </cell>
          <cell r="J924">
            <v>1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P924">
            <v>51.1</v>
          </cell>
        </row>
        <row r="925">
          <cell r="C925" t="str">
            <v>Treatment</v>
          </cell>
          <cell r="D925" t="str">
            <v>West</v>
          </cell>
          <cell r="H925">
            <v>1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P925">
            <v>48.8</v>
          </cell>
        </row>
        <row r="926">
          <cell r="C926" t="str">
            <v>Treatment</v>
          </cell>
          <cell r="D926" t="str">
            <v>East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P926">
            <v>73.2</v>
          </cell>
        </row>
        <row r="927">
          <cell r="C927" t="str">
            <v>Treatment</v>
          </cell>
          <cell r="D927" t="str">
            <v>East</v>
          </cell>
          <cell r="H927">
            <v>1</v>
          </cell>
          <cell r="I927">
            <v>1</v>
          </cell>
          <cell r="J927">
            <v>1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P927">
            <v>80</v>
          </cell>
        </row>
        <row r="928">
          <cell r="C928" t="str">
            <v>Treatment</v>
          </cell>
          <cell r="D928" t="str">
            <v>North</v>
          </cell>
          <cell r="H928">
            <v>1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P928">
            <v>52.3</v>
          </cell>
        </row>
        <row r="929">
          <cell r="C929" t="str">
            <v>Treatment</v>
          </cell>
          <cell r="D929" t="str">
            <v>North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P929">
            <v>49.1</v>
          </cell>
        </row>
        <row r="930">
          <cell r="C930" t="str">
            <v>Treatment</v>
          </cell>
          <cell r="D930" t="str">
            <v>South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P930">
            <v>45.3</v>
          </cell>
        </row>
        <row r="931">
          <cell r="C931" t="str">
            <v>Treatment</v>
          </cell>
          <cell r="D931" t="str">
            <v>South</v>
          </cell>
          <cell r="H931">
            <v>1</v>
          </cell>
          <cell r="I931">
            <v>1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P931">
            <v>49.1</v>
          </cell>
        </row>
        <row r="932">
          <cell r="C932" t="str">
            <v>Treatment</v>
          </cell>
          <cell r="D932" t="str">
            <v>East</v>
          </cell>
          <cell r="H932">
            <v>1</v>
          </cell>
          <cell r="I932">
            <v>1</v>
          </cell>
          <cell r="J932">
            <v>1</v>
          </cell>
          <cell r="K932">
            <v>1</v>
          </cell>
          <cell r="L932">
            <v>476.44</v>
          </cell>
          <cell r="M932">
            <v>0</v>
          </cell>
          <cell r="N932">
            <v>0</v>
          </cell>
          <cell r="O932">
            <v>3</v>
          </cell>
          <cell r="P932">
            <v>88.6</v>
          </cell>
        </row>
        <row r="933">
          <cell r="C933" t="str">
            <v>Treatment</v>
          </cell>
          <cell r="D933" t="str">
            <v>East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1</v>
          </cell>
          <cell r="N933">
            <v>0</v>
          </cell>
          <cell r="P933">
            <v>54.4</v>
          </cell>
        </row>
        <row r="934">
          <cell r="C934" t="str">
            <v>Treatment</v>
          </cell>
          <cell r="D934" t="str">
            <v>West</v>
          </cell>
          <cell r="H934">
            <v>1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P934">
            <v>72.900000000000006</v>
          </cell>
        </row>
        <row r="935">
          <cell r="C935" t="str">
            <v>Treatment</v>
          </cell>
          <cell r="D935" t="str">
            <v>West</v>
          </cell>
          <cell r="H935">
            <v>1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P935">
            <v>53.2</v>
          </cell>
        </row>
        <row r="936">
          <cell r="C936" t="str">
            <v>Treatment</v>
          </cell>
          <cell r="D936" t="str">
            <v>East</v>
          </cell>
          <cell r="H936">
            <v>1</v>
          </cell>
          <cell r="I936">
            <v>1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P936">
            <v>48.7</v>
          </cell>
        </row>
        <row r="937">
          <cell r="C937" t="str">
            <v>Treatment</v>
          </cell>
          <cell r="D937" t="str">
            <v>South</v>
          </cell>
          <cell r="H937">
            <v>1</v>
          </cell>
          <cell r="I937">
            <v>1</v>
          </cell>
          <cell r="J937">
            <v>1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P937">
            <v>59.9</v>
          </cell>
        </row>
        <row r="938">
          <cell r="C938" t="str">
            <v>Treatment</v>
          </cell>
          <cell r="D938" t="str">
            <v>South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P938">
            <v>82</v>
          </cell>
        </row>
        <row r="939">
          <cell r="C939" t="str">
            <v>Treatment</v>
          </cell>
          <cell r="D939" t="str">
            <v>East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P939">
            <v>72.099999999999994</v>
          </cell>
        </row>
        <row r="940">
          <cell r="C940" t="str">
            <v>Treatment</v>
          </cell>
          <cell r="D940" t="str">
            <v>North</v>
          </cell>
          <cell r="H940">
            <v>1</v>
          </cell>
          <cell r="I940">
            <v>1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P940">
            <v>68.3</v>
          </cell>
        </row>
        <row r="941">
          <cell r="C941" t="str">
            <v>Treatment</v>
          </cell>
          <cell r="D941" t="str">
            <v>West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P941">
            <v>100</v>
          </cell>
        </row>
        <row r="942">
          <cell r="C942" t="str">
            <v>Treatment</v>
          </cell>
          <cell r="D942" t="str">
            <v>East</v>
          </cell>
          <cell r="H942">
            <v>1</v>
          </cell>
          <cell r="I942">
            <v>1</v>
          </cell>
          <cell r="J942">
            <v>1</v>
          </cell>
          <cell r="K942">
            <v>0</v>
          </cell>
          <cell r="L942">
            <v>0</v>
          </cell>
          <cell r="M942">
            <v>2</v>
          </cell>
          <cell r="N942">
            <v>0</v>
          </cell>
          <cell r="P942">
            <v>76.5</v>
          </cell>
        </row>
        <row r="943">
          <cell r="C943" t="str">
            <v>Treatment</v>
          </cell>
          <cell r="D943" t="str">
            <v>South</v>
          </cell>
          <cell r="H943">
            <v>1</v>
          </cell>
          <cell r="I943">
            <v>1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P943">
            <v>62</v>
          </cell>
        </row>
        <row r="944">
          <cell r="C944" t="str">
            <v>Treatment</v>
          </cell>
          <cell r="D944" t="str">
            <v>South</v>
          </cell>
          <cell r="H944">
            <v>1</v>
          </cell>
          <cell r="I944">
            <v>1</v>
          </cell>
          <cell r="J944">
            <v>1</v>
          </cell>
          <cell r="K944">
            <v>1</v>
          </cell>
          <cell r="L944">
            <v>324.68</v>
          </cell>
          <cell r="M944">
            <v>1</v>
          </cell>
          <cell r="N944">
            <v>0</v>
          </cell>
          <cell r="O944">
            <v>7</v>
          </cell>
          <cell r="P944">
            <v>50.1</v>
          </cell>
        </row>
        <row r="945">
          <cell r="C945" t="str">
            <v>Treatment</v>
          </cell>
          <cell r="D945" t="str">
            <v>South</v>
          </cell>
          <cell r="H945">
            <v>1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P945">
            <v>62.1</v>
          </cell>
        </row>
        <row r="946">
          <cell r="C946" t="str">
            <v>Treatment</v>
          </cell>
          <cell r="D946" t="str">
            <v>West</v>
          </cell>
          <cell r="H946">
            <v>1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P946">
            <v>49.7</v>
          </cell>
        </row>
        <row r="947">
          <cell r="C947" t="str">
            <v>Treatment</v>
          </cell>
          <cell r="D947" t="str">
            <v>South</v>
          </cell>
          <cell r="H947">
            <v>1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3</v>
          </cell>
          <cell r="N947">
            <v>0</v>
          </cell>
          <cell r="P947">
            <v>71.099999999999994</v>
          </cell>
        </row>
        <row r="948">
          <cell r="C948" t="str">
            <v>Treatment</v>
          </cell>
          <cell r="D948" t="str">
            <v>North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P948">
            <v>70.8</v>
          </cell>
        </row>
        <row r="949">
          <cell r="C949" t="str">
            <v>Treatment</v>
          </cell>
          <cell r="D949" t="str">
            <v>East</v>
          </cell>
          <cell r="H949">
            <v>1</v>
          </cell>
          <cell r="I949">
            <v>1</v>
          </cell>
          <cell r="J949">
            <v>1</v>
          </cell>
          <cell r="K949">
            <v>1</v>
          </cell>
          <cell r="L949">
            <v>301.98</v>
          </cell>
          <cell r="M949">
            <v>0</v>
          </cell>
          <cell r="N949">
            <v>0</v>
          </cell>
          <cell r="O949">
            <v>10</v>
          </cell>
          <cell r="P949">
            <v>52.2</v>
          </cell>
        </row>
        <row r="950">
          <cell r="C950" t="str">
            <v>Treatment</v>
          </cell>
          <cell r="D950" t="str">
            <v>North</v>
          </cell>
          <cell r="H950">
            <v>1</v>
          </cell>
          <cell r="I950">
            <v>1</v>
          </cell>
          <cell r="J950">
            <v>1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P950">
            <v>73</v>
          </cell>
        </row>
        <row r="951">
          <cell r="C951" t="str">
            <v>Treatment</v>
          </cell>
          <cell r="D951" t="str">
            <v>South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P951">
            <v>78.2</v>
          </cell>
        </row>
        <row r="952">
          <cell r="C952" t="str">
            <v>Treatment</v>
          </cell>
          <cell r="D952" t="str">
            <v>West</v>
          </cell>
          <cell r="H952">
            <v>1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P952">
            <v>68.8</v>
          </cell>
        </row>
        <row r="953">
          <cell r="C953" t="str">
            <v>Treatment</v>
          </cell>
          <cell r="D953" t="str">
            <v>West</v>
          </cell>
          <cell r="H953">
            <v>1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P953">
            <v>57.1</v>
          </cell>
        </row>
        <row r="954">
          <cell r="C954" t="str">
            <v>Treatment</v>
          </cell>
          <cell r="D954" t="str">
            <v>East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1</v>
          </cell>
          <cell r="N954">
            <v>0</v>
          </cell>
          <cell r="P954">
            <v>74.599999999999994</v>
          </cell>
        </row>
        <row r="955">
          <cell r="C955" t="str">
            <v>Treatment</v>
          </cell>
          <cell r="D955" t="str">
            <v>North</v>
          </cell>
          <cell r="H955">
            <v>1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1</v>
          </cell>
          <cell r="N955">
            <v>0</v>
          </cell>
          <cell r="P955">
            <v>64.099999999999994</v>
          </cell>
        </row>
        <row r="956">
          <cell r="C956" t="str">
            <v>Treatment</v>
          </cell>
          <cell r="D956" t="str">
            <v>West</v>
          </cell>
          <cell r="H956">
            <v>1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P956">
            <v>67.3</v>
          </cell>
        </row>
        <row r="957">
          <cell r="C957" t="str">
            <v>Treatment</v>
          </cell>
          <cell r="D957" t="str">
            <v>West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2</v>
          </cell>
          <cell r="N957">
            <v>0</v>
          </cell>
          <cell r="P957">
            <v>41</v>
          </cell>
        </row>
        <row r="958">
          <cell r="C958" t="str">
            <v>Treatment</v>
          </cell>
          <cell r="D958" t="str">
            <v>West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P958">
            <v>48.1</v>
          </cell>
        </row>
        <row r="959">
          <cell r="C959" t="str">
            <v>Treatment</v>
          </cell>
          <cell r="D959" t="str">
            <v>West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1</v>
          </cell>
          <cell r="N959">
            <v>0</v>
          </cell>
          <cell r="P959">
            <v>60.8</v>
          </cell>
        </row>
        <row r="960">
          <cell r="C960" t="str">
            <v>Treatment</v>
          </cell>
          <cell r="D960" t="str">
            <v>East</v>
          </cell>
          <cell r="H960">
            <v>1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P960">
            <v>63.1</v>
          </cell>
        </row>
        <row r="961">
          <cell r="C961" t="str">
            <v>Treatment</v>
          </cell>
          <cell r="D961" t="str">
            <v>North</v>
          </cell>
          <cell r="H961">
            <v>1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2</v>
          </cell>
          <cell r="N961">
            <v>0</v>
          </cell>
          <cell r="P961">
            <v>49.7</v>
          </cell>
        </row>
        <row r="962">
          <cell r="C962" t="str">
            <v>Treatment</v>
          </cell>
          <cell r="D962" t="str">
            <v>East</v>
          </cell>
          <cell r="H962">
            <v>1</v>
          </cell>
          <cell r="I962">
            <v>1</v>
          </cell>
          <cell r="J962">
            <v>1</v>
          </cell>
          <cell r="K962">
            <v>0</v>
          </cell>
          <cell r="L962">
            <v>0</v>
          </cell>
          <cell r="M962">
            <v>1</v>
          </cell>
          <cell r="N962">
            <v>0</v>
          </cell>
          <cell r="P962">
            <v>83.4</v>
          </cell>
        </row>
        <row r="963">
          <cell r="C963" t="str">
            <v>Treatment</v>
          </cell>
          <cell r="D963" t="str">
            <v>East</v>
          </cell>
          <cell r="H963">
            <v>1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P963">
            <v>75.900000000000006</v>
          </cell>
        </row>
        <row r="964">
          <cell r="C964" t="str">
            <v>Treatment</v>
          </cell>
          <cell r="D964" t="str">
            <v>East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1</v>
          </cell>
          <cell r="N964">
            <v>0</v>
          </cell>
          <cell r="P964">
            <v>71.8</v>
          </cell>
        </row>
        <row r="965">
          <cell r="C965" t="str">
            <v>Treatment</v>
          </cell>
          <cell r="D965" t="str">
            <v>South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P965">
            <v>37.9</v>
          </cell>
        </row>
        <row r="966">
          <cell r="C966" t="str">
            <v>Treatment</v>
          </cell>
          <cell r="D966" t="str">
            <v>North</v>
          </cell>
          <cell r="H966">
            <v>1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P966">
            <v>59.8</v>
          </cell>
        </row>
        <row r="967">
          <cell r="C967" t="str">
            <v>Treatment</v>
          </cell>
          <cell r="D967" t="str">
            <v>North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P967">
            <v>66.900000000000006</v>
          </cell>
        </row>
        <row r="968">
          <cell r="C968" t="str">
            <v>Treatment</v>
          </cell>
          <cell r="D968" t="str">
            <v>South</v>
          </cell>
          <cell r="H968">
            <v>1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P968">
            <v>59</v>
          </cell>
        </row>
        <row r="969">
          <cell r="C969" t="str">
            <v>Treatment</v>
          </cell>
          <cell r="D969" t="str">
            <v>West</v>
          </cell>
          <cell r="H969">
            <v>1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P969">
            <v>80.099999999999994</v>
          </cell>
        </row>
        <row r="970">
          <cell r="C970" t="str">
            <v>Treatment</v>
          </cell>
          <cell r="D970" t="str">
            <v>South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P970">
            <v>64.3</v>
          </cell>
        </row>
        <row r="971">
          <cell r="C971" t="str">
            <v>Treatment</v>
          </cell>
          <cell r="D971" t="str">
            <v>South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1</v>
          </cell>
          <cell r="N971">
            <v>0</v>
          </cell>
          <cell r="P971">
            <v>57.4</v>
          </cell>
        </row>
        <row r="972">
          <cell r="C972" t="str">
            <v>Treatment</v>
          </cell>
          <cell r="D972" t="str">
            <v>North</v>
          </cell>
          <cell r="H972">
            <v>1</v>
          </cell>
          <cell r="I972">
            <v>1</v>
          </cell>
          <cell r="J972">
            <v>1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P972">
            <v>83.6</v>
          </cell>
        </row>
        <row r="973">
          <cell r="C973" t="str">
            <v>Treatment</v>
          </cell>
          <cell r="D973" t="str">
            <v>East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P973">
            <v>45.8</v>
          </cell>
        </row>
        <row r="974">
          <cell r="C974" t="str">
            <v>Treatment</v>
          </cell>
          <cell r="D974" t="str">
            <v>West</v>
          </cell>
          <cell r="H974">
            <v>1</v>
          </cell>
          <cell r="I974">
            <v>1</v>
          </cell>
          <cell r="J974">
            <v>1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P974">
            <v>64.3</v>
          </cell>
        </row>
        <row r="975">
          <cell r="C975" t="str">
            <v>Treatment</v>
          </cell>
          <cell r="D975" t="str">
            <v>South</v>
          </cell>
          <cell r="H975">
            <v>1</v>
          </cell>
          <cell r="I975">
            <v>1</v>
          </cell>
          <cell r="J975">
            <v>1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P975">
            <v>80.5</v>
          </cell>
        </row>
        <row r="976">
          <cell r="C976" t="str">
            <v>Treatment</v>
          </cell>
          <cell r="D976" t="str">
            <v>North</v>
          </cell>
          <cell r="H976">
            <v>1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P976">
            <v>46.3</v>
          </cell>
        </row>
        <row r="977">
          <cell r="C977" t="str">
            <v>Treatment</v>
          </cell>
          <cell r="D977" t="str">
            <v>South</v>
          </cell>
          <cell r="H977">
            <v>1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P977">
            <v>71.599999999999994</v>
          </cell>
        </row>
        <row r="978">
          <cell r="C978" t="str">
            <v>Treatment</v>
          </cell>
          <cell r="D978" t="str">
            <v>South</v>
          </cell>
          <cell r="H978">
            <v>1</v>
          </cell>
          <cell r="I978">
            <v>1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P978">
            <v>57.8</v>
          </cell>
        </row>
        <row r="979">
          <cell r="C979" t="str">
            <v>Treatment</v>
          </cell>
          <cell r="D979" t="str">
            <v>West</v>
          </cell>
          <cell r="H979">
            <v>1</v>
          </cell>
          <cell r="I979">
            <v>1</v>
          </cell>
          <cell r="J979">
            <v>1</v>
          </cell>
          <cell r="K979">
            <v>0</v>
          </cell>
          <cell r="L979">
            <v>0</v>
          </cell>
          <cell r="M979">
            <v>1</v>
          </cell>
          <cell r="N979">
            <v>0</v>
          </cell>
          <cell r="P979">
            <v>57.8</v>
          </cell>
        </row>
        <row r="980">
          <cell r="C980" t="str">
            <v>Treatment</v>
          </cell>
          <cell r="D980" t="str">
            <v>North</v>
          </cell>
          <cell r="H980">
            <v>1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P980">
            <v>38.299999999999997</v>
          </cell>
        </row>
        <row r="981">
          <cell r="C981" t="str">
            <v>Treatment</v>
          </cell>
          <cell r="D981" t="str">
            <v>North</v>
          </cell>
          <cell r="H981">
            <v>1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1</v>
          </cell>
          <cell r="N981">
            <v>0</v>
          </cell>
          <cell r="P981">
            <v>66.099999999999994</v>
          </cell>
        </row>
        <row r="982">
          <cell r="C982" t="str">
            <v>Treatment</v>
          </cell>
          <cell r="D982" t="str">
            <v>North</v>
          </cell>
          <cell r="H982">
            <v>1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P982">
            <v>66.5</v>
          </cell>
        </row>
        <row r="983">
          <cell r="C983" t="str">
            <v>Treatment</v>
          </cell>
          <cell r="D983" t="str">
            <v>South</v>
          </cell>
          <cell r="H983">
            <v>1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3</v>
          </cell>
          <cell r="N983">
            <v>0</v>
          </cell>
          <cell r="P983">
            <v>51.5</v>
          </cell>
        </row>
        <row r="984">
          <cell r="C984" t="str">
            <v>Treatment</v>
          </cell>
          <cell r="D984" t="str">
            <v>North</v>
          </cell>
          <cell r="H984">
            <v>1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P984">
            <v>59.9</v>
          </cell>
        </row>
        <row r="985">
          <cell r="C985" t="str">
            <v>Treatment</v>
          </cell>
          <cell r="D985" t="str">
            <v>West</v>
          </cell>
          <cell r="H985">
            <v>1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P985">
            <v>58.8</v>
          </cell>
        </row>
        <row r="986">
          <cell r="C986" t="str">
            <v>Treatment</v>
          </cell>
          <cell r="D986" t="str">
            <v>South</v>
          </cell>
          <cell r="H986">
            <v>1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P986">
            <v>69.599999999999994</v>
          </cell>
        </row>
        <row r="987">
          <cell r="C987" t="str">
            <v>Treatment</v>
          </cell>
          <cell r="D987" t="str">
            <v>East</v>
          </cell>
          <cell r="H987">
            <v>1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P987">
            <v>77.5</v>
          </cell>
        </row>
        <row r="988">
          <cell r="C988" t="str">
            <v>Treatment</v>
          </cell>
          <cell r="D988" t="str">
            <v>East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2</v>
          </cell>
          <cell r="N988">
            <v>0</v>
          </cell>
          <cell r="P988">
            <v>57.5</v>
          </cell>
        </row>
        <row r="989">
          <cell r="C989" t="str">
            <v>Treatment</v>
          </cell>
          <cell r="D989" t="str">
            <v>West</v>
          </cell>
          <cell r="H989">
            <v>1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P989">
            <v>64.2</v>
          </cell>
        </row>
        <row r="990">
          <cell r="C990" t="str">
            <v>Treatment</v>
          </cell>
          <cell r="D990" t="str">
            <v>West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P990">
            <v>60</v>
          </cell>
        </row>
        <row r="991">
          <cell r="C991" t="str">
            <v>Treatment</v>
          </cell>
          <cell r="D991" t="str">
            <v>East</v>
          </cell>
          <cell r="H991">
            <v>1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1</v>
          </cell>
          <cell r="N991">
            <v>0</v>
          </cell>
          <cell r="P991">
            <v>43.7</v>
          </cell>
        </row>
        <row r="992">
          <cell r="C992" t="str">
            <v>Treatment</v>
          </cell>
          <cell r="D992" t="str">
            <v>West</v>
          </cell>
          <cell r="H992">
            <v>1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P992">
            <v>64.900000000000006</v>
          </cell>
        </row>
        <row r="993">
          <cell r="C993" t="str">
            <v>Treatment</v>
          </cell>
          <cell r="D993" t="str">
            <v>South</v>
          </cell>
          <cell r="H993">
            <v>1</v>
          </cell>
          <cell r="I993">
            <v>1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P993">
            <v>45.5</v>
          </cell>
        </row>
        <row r="994">
          <cell r="C994" t="str">
            <v>Treatment</v>
          </cell>
          <cell r="D994" t="str">
            <v>East</v>
          </cell>
          <cell r="H994">
            <v>1</v>
          </cell>
          <cell r="I994">
            <v>1</v>
          </cell>
          <cell r="J994">
            <v>1</v>
          </cell>
          <cell r="K994">
            <v>1</v>
          </cell>
          <cell r="L994">
            <v>1772.97</v>
          </cell>
          <cell r="M994">
            <v>0</v>
          </cell>
          <cell r="N994">
            <v>0</v>
          </cell>
          <cell r="O994">
            <v>8</v>
          </cell>
          <cell r="P994">
            <v>61.2</v>
          </cell>
        </row>
        <row r="995">
          <cell r="C995" t="str">
            <v>Treatment</v>
          </cell>
          <cell r="D995" t="str">
            <v>South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P995">
            <v>87.8</v>
          </cell>
        </row>
        <row r="996">
          <cell r="C996" t="str">
            <v>Treatment</v>
          </cell>
          <cell r="D996" t="str">
            <v>East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P996">
            <v>86.4</v>
          </cell>
        </row>
        <row r="997">
          <cell r="C997" t="str">
            <v>Treatment</v>
          </cell>
          <cell r="D997" t="str">
            <v>North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1</v>
          </cell>
          <cell r="N997">
            <v>0</v>
          </cell>
          <cell r="P997">
            <v>71.400000000000006</v>
          </cell>
        </row>
        <row r="998">
          <cell r="C998" t="str">
            <v>Treatment</v>
          </cell>
          <cell r="D998" t="str">
            <v>West</v>
          </cell>
          <cell r="H998">
            <v>1</v>
          </cell>
          <cell r="I998">
            <v>1</v>
          </cell>
          <cell r="J998">
            <v>1</v>
          </cell>
          <cell r="K998">
            <v>1</v>
          </cell>
          <cell r="L998">
            <v>218.66</v>
          </cell>
          <cell r="M998">
            <v>0</v>
          </cell>
          <cell r="N998">
            <v>1</v>
          </cell>
          <cell r="O998">
            <v>8</v>
          </cell>
          <cell r="P998">
            <v>72.2</v>
          </cell>
        </row>
        <row r="999">
          <cell r="C999" t="str">
            <v>Treatment</v>
          </cell>
          <cell r="D999" t="str">
            <v>South</v>
          </cell>
          <cell r="H999">
            <v>1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P999">
            <v>51.9</v>
          </cell>
        </row>
        <row r="1000">
          <cell r="C1000" t="str">
            <v>Treatment</v>
          </cell>
          <cell r="D1000" t="str">
            <v>East</v>
          </cell>
          <cell r="H1000">
            <v>1</v>
          </cell>
          <cell r="I1000">
            <v>1</v>
          </cell>
          <cell r="J1000">
            <v>1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P1000">
            <v>70.3</v>
          </cell>
        </row>
        <row r="1001">
          <cell r="C1001" t="str">
            <v>Treatment</v>
          </cell>
          <cell r="D1001" t="str">
            <v>South</v>
          </cell>
          <cell r="H1001">
            <v>1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1</v>
          </cell>
          <cell r="N1001">
            <v>0</v>
          </cell>
          <cell r="P1001">
            <v>49.2</v>
          </cell>
        </row>
        <row r="1002">
          <cell r="C1002" t="str">
            <v>Treatment</v>
          </cell>
          <cell r="D1002" t="str">
            <v>South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P1002">
            <v>52.2</v>
          </cell>
        </row>
        <row r="1003">
          <cell r="C1003" t="str">
            <v>Treatment</v>
          </cell>
          <cell r="D1003" t="str">
            <v>East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1</v>
          </cell>
          <cell r="N1003">
            <v>0</v>
          </cell>
          <cell r="P1003">
            <v>62.6</v>
          </cell>
        </row>
        <row r="1004">
          <cell r="C1004" t="str">
            <v>Treatment</v>
          </cell>
          <cell r="D1004" t="str">
            <v>East</v>
          </cell>
          <cell r="H1004">
            <v>1</v>
          </cell>
          <cell r="I1004">
            <v>1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P1004">
            <v>100</v>
          </cell>
        </row>
        <row r="1005">
          <cell r="C1005" t="str">
            <v>Treatment</v>
          </cell>
          <cell r="D1005" t="str">
            <v>North</v>
          </cell>
          <cell r="H1005">
            <v>1</v>
          </cell>
          <cell r="I1005">
            <v>1</v>
          </cell>
          <cell r="J1005">
            <v>1</v>
          </cell>
          <cell r="K1005">
            <v>0</v>
          </cell>
          <cell r="L1005">
            <v>0</v>
          </cell>
          <cell r="M1005">
            <v>2</v>
          </cell>
          <cell r="N1005">
            <v>0</v>
          </cell>
          <cell r="P1005">
            <v>45.9</v>
          </cell>
        </row>
        <row r="1006">
          <cell r="C1006" t="str">
            <v>Treatment</v>
          </cell>
          <cell r="D1006" t="str">
            <v>East</v>
          </cell>
          <cell r="H1006">
            <v>1</v>
          </cell>
          <cell r="I1006">
            <v>1</v>
          </cell>
          <cell r="J1006">
            <v>1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P1006">
            <v>80.7</v>
          </cell>
        </row>
        <row r="1007">
          <cell r="C1007" t="str">
            <v>Treatment</v>
          </cell>
          <cell r="D1007" t="str">
            <v>South</v>
          </cell>
          <cell r="H1007">
            <v>1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P1007">
            <v>51.9</v>
          </cell>
        </row>
        <row r="1008">
          <cell r="C1008" t="str">
            <v>Treatment</v>
          </cell>
          <cell r="D1008" t="str">
            <v>North</v>
          </cell>
          <cell r="H1008">
            <v>1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P1008">
            <v>68.900000000000006</v>
          </cell>
        </row>
        <row r="1009">
          <cell r="C1009" t="str">
            <v>Treatment</v>
          </cell>
          <cell r="D1009" t="str">
            <v>West</v>
          </cell>
          <cell r="H1009">
            <v>1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P1009">
            <v>66</v>
          </cell>
        </row>
        <row r="1010">
          <cell r="C1010" t="str">
            <v>Treatment</v>
          </cell>
          <cell r="D1010" t="str">
            <v>West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P1010">
            <v>63.1</v>
          </cell>
        </row>
        <row r="1011">
          <cell r="C1011" t="str">
            <v>Treatment</v>
          </cell>
          <cell r="D1011" t="str">
            <v>South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P1011">
            <v>56</v>
          </cell>
        </row>
        <row r="1012">
          <cell r="C1012" t="str">
            <v>Treatment</v>
          </cell>
          <cell r="D1012" t="str">
            <v>East</v>
          </cell>
          <cell r="H1012">
            <v>1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1</v>
          </cell>
          <cell r="N1012">
            <v>0</v>
          </cell>
          <cell r="P1012">
            <v>65.7</v>
          </cell>
        </row>
        <row r="1013">
          <cell r="C1013" t="str">
            <v>Treatment</v>
          </cell>
          <cell r="D1013" t="str">
            <v>North</v>
          </cell>
          <cell r="H1013">
            <v>1</v>
          </cell>
          <cell r="I1013">
            <v>1</v>
          </cell>
          <cell r="J1013">
            <v>1</v>
          </cell>
          <cell r="K1013">
            <v>1</v>
          </cell>
          <cell r="L1013">
            <v>1938.31</v>
          </cell>
          <cell r="M1013">
            <v>1</v>
          </cell>
          <cell r="N1013">
            <v>0</v>
          </cell>
          <cell r="O1013">
            <v>9</v>
          </cell>
          <cell r="P1013">
            <v>60.9</v>
          </cell>
        </row>
        <row r="1014">
          <cell r="C1014" t="str">
            <v>Treatment</v>
          </cell>
          <cell r="D1014" t="str">
            <v>South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P1014">
            <v>45.5</v>
          </cell>
        </row>
        <row r="1015">
          <cell r="C1015" t="str">
            <v>Treatment</v>
          </cell>
          <cell r="D1015" t="str">
            <v>North</v>
          </cell>
          <cell r="H1015">
            <v>1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P1015">
            <v>50</v>
          </cell>
        </row>
        <row r="1016">
          <cell r="C1016" t="str">
            <v>Treatment</v>
          </cell>
          <cell r="D1016" t="str">
            <v>North</v>
          </cell>
          <cell r="H1016">
            <v>1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P1016">
            <v>72.099999999999994</v>
          </cell>
        </row>
        <row r="1017">
          <cell r="C1017" t="str">
            <v>Treatment</v>
          </cell>
          <cell r="D1017" t="str">
            <v>South</v>
          </cell>
          <cell r="H1017">
            <v>1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P1017">
            <v>76.3</v>
          </cell>
        </row>
        <row r="1018">
          <cell r="C1018" t="str">
            <v>Treatment</v>
          </cell>
          <cell r="D1018" t="str">
            <v>East</v>
          </cell>
          <cell r="H1018">
            <v>1</v>
          </cell>
          <cell r="I1018">
            <v>1</v>
          </cell>
          <cell r="J1018">
            <v>0</v>
          </cell>
          <cell r="K1018">
            <v>0</v>
          </cell>
          <cell r="L1018">
            <v>0</v>
          </cell>
          <cell r="M1018">
            <v>1</v>
          </cell>
          <cell r="N1018">
            <v>0</v>
          </cell>
          <cell r="P1018">
            <v>54.8</v>
          </cell>
        </row>
        <row r="1019">
          <cell r="C1019" t="str">
            <v>Treatment</v>
          </cell>
          <cell r="D1019" t="str">
            <v>South</v>
          </cell>
          <cell r="H1019">
            <v>1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P1019">
            <v>63.6</v>
          </cell>
        </row>
        <row r="1020">
          <cell r="C1020" t="str">
            <v>Treatment</v>
          </cell>
          <cell r="D1020" t="str">
            <v>South</v>
          </cell>
          <cell r="H1020">
            <v>1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P1020">
            <v>68.8</v>
          </cell>
        </row>
        <row r="1021">
          <cell r="C1021" t="str">
            <v>Treatment</v>
          </cell>
          <cell r="D1021" t="str">
            <v>South</v>
          </cell>
          <cell r="H1021">
            <v>1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P1021">
            <v>63.2</v>
          </cell>
        </row>
        <row r="1022">
          <cell r="C1022" t="str">
            <v>Treatment</v>
          </cell>
          <cell r="D1022" t="str">
            <v>East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P1022">
            <v>45</v>
          </cell>
        </row>
        <row r="1023">
          <cell r="C1023" t="str">
            <v>Treatment</v>
          </cell>
          <cell r="D1023" t="str">
            <v>South</v>
          </cell>
          <cell r="H1023">
            <v>1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P1023">
            <v>77.400000000000006</v>
          </cell>
        </row>
        <row r="1024">
          <cell r="C1024" t="str">
            <v>Treatment</v>
          </cell>
          <cell r="D1024" t="str">
            <v>East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P1024">
            <v>53.1</v>
          </cell>
        </row>
        <row r="1025">
          <cell r="C1025" t="str">
            <v>Treatment</v>
          </cell>
          <cell r="D1025" t="str">
            <v>West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P1025">
            <v>74</v>
          </cell>
        </row>
        <row r="1026">
          <cell r="C1026" t="str">
            <v>Treatment</v>
          </cell>
          <cell r="D1026" t="str">
            <v>North</v>
          </cell>
          <cell r="H1026">
            <v>1</v>
          </cell>
          <cell r="I1026">
            <v>1</v>
          </cell>
          <cell r="J1026">
            <v>1</v>
          </cell>
          <cell r="K1026">
            <v>1</v>
          </cell>
          <cell r="L1026">
            <v>1906.23</v>
          </cell>
          <cell r="M1026">
            <v>0</v>
          </cell>
          <cell r="N1026">
            <v>0</v>
          </cell>
          <cell r="O1026">
            <v>4</v>
          </cell>
          <cell r="P1026">
            <v>84.6</v>
          </cell>
        </row>
        <row r="1027">
          <cell r="C1027" t="str">
            <v>Treatment</v>
          </cell>
          <cell r="D1027" t="str">
            <v>East</v>
          </cell>
          <cell r="H1027">
            <v>1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P1027">
            <v>57</v>
          </cell>
        </row>
        <row r="1028">
          <cell r="C1028" t="str">
            <v>Treatment</v>
          </cell>
          <cell r="D1028" t="str">
            <v>South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P1028">
            <v>46.3</v>
          </cell>
        </row>
        <row r="1029">
          <cell r="C1029" t="str">
            <v>Treatment</v>
          </cell>
          <cell r="D1029" t="str">
            <v>West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1</v>
          </cell>
          <cell r="N1029">
            <v>0</v>
          </cell>
          <cell r="P1029">
            <v>64.400000000000006</v>
          </cell>
        </row>
        <row r="1030">
          <cell r="C1030" t="str">
            <v>Treatment</v>
          </cell>
          <cell r="D1030" t="str">
            <v>West</v>
          </cell>
          <cell r="H1030">
            <v>1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2</v>
          </cell>
          <cell r="N1030">
            <v>0</v>
          </cell>
          <cell r="P1030">
            <v>61.9</v>
          </cell>
        </row>
        <row r="1031">
          <cell r="C1031" t="str">
            <v>Treatment</v>
          </cell>
          <cell r="D1031" t="str">
            <v>North</v>
          </cell>
          <cell r="H1031">
            <v>1</v>
          </cell>
          <cell r="I1031">
            <v>1</v>
          </cell>
          <cell r="J1031">
            <v>1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P1031">
            <v>93.7</v>
          </cell>
        </row>
        <row r="1032">
          <cell r="C1032" t="str">
            <v>Treatment</v>
          </cell>
          <cell r="D1032" t="str">
            <v>South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P1032">
            <v>61.6</v>
          </cell>
        </row>
        <row r="1033">
          <cell r="C1033" t="str">
            <v>Treatment</v>
          </cell>
          <cell r="D1033" t="str">
            <v>North</v>
          </cell>
          <cell r="H1033">
            <v>1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P1033">
            <v>72.2</v>
          </cell>
        </row>
        <row r="1034">
          <cell r="C1034" t="str">
            <v>Treatment</v>
          </cell>
          <cell r="D1034" t="str">
            <v>North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P1034">
            <v>69.5</v>
          </cell>
        </row>
        <row r="1035">
          <cell r="C1035" t="str">
            <v>Treatment</v>
          </cell>
          <cell r="D1035" t="str">
            <v>East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P1035">
            <v>59.7</v>
          </cell>
        </row>
        <row r="1036">
          <cell r="C1036" t="str">
            <v>Treatment</v>
          </cell>
          <cell r="D1036" t="str">
            <v>East</v>
          </cell>
          <cell r="H1036">
            <v>1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P1036">
            <v>73.900000000000006</v>
          </cell>
        </row>
        <row r="1037">
          <cell r="C1037" t="str">
            <v>Treatment</v>
          </cell>
          <cell r="D1037" t="str">
            <v>North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P1037">
            <v>41.5</v>
          </cell>
        </row>
        <row r="1038">
          <cell r="C1038" t="str">
            <v>Treatment</v>
          </cell>
          <cell r="D1038" t="str">
            <v>West</v>
          </cell>
          <cell r="H1038">
            <v>1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P1038">
            <v>82.8</v>
          </cell>
        </row>
        <row r="1039">
          <cell r="C1039" t="str">
            <v>Treatment</v>
          </cell>
          <cell r="D1039" t="str">
            <v>West</v>
          </cell>
          <cell r="H1039">
            <v>1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3</v>
          </cell>
          <cell r="N1039">
            <v>0</v>
          </cell>
          <cell r="P1039">
            <v>70.2</v>
          </cell>
        </row>
        <row r="1040">
          <cell r="C1040" t="str">
            <v>Treatment</v>
          </cell>
          <cell r="D1040" t="str">
            <v>East</v>
          </cell>
          <cell r="H1040">
            <v>1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1</v>
          </cell>
          <cell r="N1040">
            <v>0</v>
          </cell>
          <cell r="P1040">
            <v>69.400000000000006</v>
          </cell>
        </row>
        <row r="1041">
          <cell r="C1041" t="str">
            <v>Treatment</v>
          </cell>
          <cell r="D1041" t="str">
            <v>North</v>
          </cell>
          <cell r="H1041">
            <v>1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P1041">
            <v>60.4</v>
          </cell>
        </row>
        <row r="1042">
          <cell r="C1042" t="str">
            <v>Treatment</v>
          </cell>
          <cell r="D1042" t="str">
            <v>East</v>
          </cell>
          <cell r="H1042">
            <v>1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P1042">
            <v>45.7</v>
          </cell>
        </row>
        <row r="1043">
          <cell r="C1043" t="str">
            <v>Treatment</v>
          </cell>
          <cell r="D1043" t="str">
            <v>West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1</v>
          </cell>
          <cell r="N1043">
            <v>0</v>
          </cell>
          <cell r="P1043">
            <v>42.2</v>
          </cell>
        </row>
        <row r="1044">
          <cell r="C1044" t="str">
            <v>Treatment</v>
          </cell>
          <cell r="D1044" t="str">
            <v>North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2</v>
          </cell>
          <cell r="N1044">
            <v>0</v>
          </cell>
          <cell r="P1044">
            <v>61.9</v>
          </cell>
        </row>
        <row r="1045">
          <cell r="C1045" t="str">
            <v>Treatment</v>
          </cell>
          <cell r="D1045" t="str">
            <v>East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P1045">
            <v>44.9</v>
          </cell>
        </row>
        <row r="1046">
          <cell r="C1046" t="str">
            <v>Treatment</v>
          </cell>
          <cell r="D1046" t="str">
            <v>East</v>
          </cell>
          <cell r="H1046">
            <v>1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P1046">
            <v>68</v>
          </cell>
        </row>
        <row r="1047">
          <cell r="C1047" t="str">
            <v>Treatment</v>
          </cell>
          <cell r="D1047" t="str">
            <v>North</v>
          </cell>
          <cell r="H1047">
            <v>1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P1047">
            <v>61</v>
          </cell>
        </row>
        <row r="1048">
          <cell r="C1048" t="str">
            <v>Treatment</v>
          </cell>
          <cell r="D1048" t="str">
            <v>West</v>
          </cell>
          <cell r="H1048">
            <v>1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P1048">
            <v>55</v>
          </cell>
        </row>
        <row r="1049">
          <cell r="C1049" t="str">
            <v>Treatment</v>
          </cell>
          <cell r="D1049" t="str">
            <v>East</v>
          </cell>
          <cell r="H1049">
            <v>1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P1049">
            <v>63.1</v>
          </cell>
        </row>
        <row r="1050">
          <cell r="C1050" t="str">
            <v>Treatment</v>
          </cell>
          <cell r="D1050" t="str">
            <v>West</v>
          </cell>
          <cell r="H1050">
            <v>1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P1050">
            <v>75.8</v>
          </cell>
        </row>
        <row r="1051">
          <cell r="C1051" t="str">
            <v>Treatment</v>
          </cell>
          <cell r="D1051" t="str">
            <v>South</v>
          </cell>
          <cell r="H1051">
            <v>1</v>
          </cell>
          <cell r="I1051">
            <v>1</v>
          </cell>
          <cell r="J1051">
            <v>0</v>
          </cell>
          <cell r="K1051">
            <v>0</v>
          </cell>
          <cell r="L1051">
            <v>0</v>
          </cell>
          <cell r="M1051">
            <v>1</v>
          </cell>
          <cell r="N1051">
            <v>0</v>
          </cell>
          <cell r="P1051">
            <v>43.8</v>
          </cell>
        </row>
        <row r="1052">
          <cell r="C1052" t="str">
            <v>Treatment</v>
          </cell>
          <cell r="D1052" t="str">
            <v>North</v>
          </cell>
          <cell r="H1052">
            <v>1</v>
          </cell>
          <cell r="I1052">
            <v>1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P1052">
            <v>46.8</v>
          </cell>
        </row>
        <row r="1053">
          <cell r="C1053" t="str">
            <v>Treatment</v>
          </cell>
          <cell r="D1053" t="str">
            <v>East</v>
          </cell>
          <cell r="H1053">
            <v>1</v>
          </cell>
          <cell r="I1053">
            <v>1</v>
          </cell>
          <cell r="J1053">
            <v>1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P1053">
            <v>97.4</v>
          </cell>
        </row>
        <row r="1054">
          <cell r="C1054" t="str">
            <v>Treatment</v>
          </cell>
          <cell r="D1054" t="str">
            <v>North</v>
          </cell>
          <cell r="H1054">
            <v>1</v>
          </cell>
          <cell r="I1054">
            <v>1</v>
          </cell>
          <cell r="J1054">
            <v>1</v>
          </cell>
          <cell r="K1054">
            <v>1</v>
          </cell>
          <cell r="L1054">
            <v>268.95999999999998</v>
          </cell>
          <cell r="M1054">
            <v>0</v>
          </cell>
          <cell r="N1054">
            <v>0</v>
          </cell>
          <cell r="O1054">
            <v>14</v>
          </cell>
          <cell r="P1054">
            <v>81</v>
          </cell>
        </row>
        <row r="1055">
          <cell r="C1055" t="str">
            <v>Treatment</v>
          </cell>
          <cell r="D1055" t="str">
            <v>South</v>
          </cell>
          <cell r="H1055">
            <v>1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1</v>
          </cell>
          <cell r="N1055">
            <v>0</v>
          </cell>
          <cell r="P1055">
            <v>58.9</v>
          </cell>
        </row>
        <row r="1056">
          <cell r="C1056" t="str">
            <v>Treatment</v>
          </cell>
          <cell r="D1056" t="str">
            <v>East</v>
          </cell>
          <cell r="H1056">
            <v>1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P1056">
            <v>51.9</v>
          </cell>
        </row>
        <row r="1057">
          <cell r="C1057" t="str">
            <v>Treatment</v>
          </cell>
          <cell r="D1057" t="str">
            <v>West</v>
          </cell>
          <cell r="H1057">
            <v>1</v>
          </cell>
          <cell r="I1057">
            <v>1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P1057">
            <v>61.7</v>
          </cell>
        </row>
        <row r="1058">
          <cell r="C1058" t="str">
            <v>Treatment</v>
          </cell>
          <cell r="D1058" t="str">
            <v>South</v>
          </cell>
          <cell r="H1058">
            <v>1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P1058">
            <v>44.7</v>
          </cell>
        </row>
        <row r="1059">
          <cell r="C1059" t="str">
            <v>Treatment</v>
          </cell>
          <cell r="D1059" t="str">
            <v>North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P1059">
            <v>63.2</v>
          </cell>
        </row>
        <row r="1060">
          <cell r="C1060" t="str">
            <v>Treatment</v>
          </cell>
          <cell r="D1060" t="str">
            <v>South</v>
          </cell>
          <cell r="H1060">
            <v>1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P1060">
            <v>70.3</v>
          </cell>
        </row>
        <row r="1061">
          <cell r="C1061" t="str">
            <v>Treatment</v>
          </cell>
          <cell r="D1061" t="str">
            <v>South</v>
          </cell>
          <cell r="H1061">
            <v>1</v>
          </cell>
          <cell r="I1061">
            <v>1</v>
          </cell>
          <cell r="J1061">
            <v>0</v>
          </cell>
          <cell r="K1061">
            <v>0</v>
          </cell>
          <cell r="L1061">
            <v>0</v>
          </cell>
          <cell r="M1061">
            <v>1</v>
          </cell>
          <cell r="N1061">
            <v>0</v>
          </cell>
          <cell r="P1061">
            <v>83.1</v>
          </cell>
        </row>
        <row r="1062">
          <cell r="C1062" t="str">
            <v>Treatment</v>
          </cell>
          <cell r="D1062" t="str">
            <v>West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P1062">
            <v>50.3</v>
          </cell>
        </row>
        <row r="1063">
          <cell r="C1063" t="str">
            <v>Treatment</v>
          </cell>
          <cell r="D1063" t="str">
            <v>East</v>
          </cell>
          <cell r="H1063">
            <v>1</v>
          </cell>
          <cell r="I1063">
            <v>1</v>
          </cell>
          <cell r="J1063">
            <v>1</v>
          </cell>
          <cell r="K1063">
            <v>1</v>
          </cell>
          <cell r="L1063">
            <v>437.09</v>
          </cell>
          <cell r="M1063">
            <v>2</v>
          </cell>
          <cell r="N1063">
            <v>1</v>
          </cell>
          <cell r="O1063">
            <v>1</v>
          </cell>
          <cell r="P1063">
            <v>58.2</v>
          </cell>
        </row>
        <row r="1064">
          <cell r="C1064" t="str">
            <v>Treatment</v>
          </cell>
          <cell r="D1064" t="str">
            <v>South</v>
          </cell>
          <cell r="H1064">
            <v>1</v>
          </cell>
          <cell r="I1064">
            <v>1</v>
          </cell>
          <cell r="J1064">
            <v>1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P1064">
            <v>53.2</v>
          </cell>
        </row>
        <row r="1065">
          <cell r="C1065" t="str">
            <v>Treatment</v>
          </cell>
          <cell r="D1065" t="str">
            <v>East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P1065">
            <v>36.4</v>
          </cell>
        </row>
        <row r="1066">
          <cell r="C1066" t="str">
            <v>Treatment</v>
          </cell>
          <cell r="D1066" t="str">
            <v>South</v>
          </cell>
          <cell r="H1066">
            <v>1</v>
          </cell>
          <cell r="I1066">
            <v>1</v>
          </cell>
          <cell r="J1066">
            <v>1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P1066">
            <v>72.7</v>
          </cell>
        </row>
        <row r="1067">
          <cell r="C1067" t="str">
            <v>Treatment</v>
          </cell>
          <cell r="D1067" t="str">
            <v>East</v>
          </cell>
          <cell r="H1067">
            <v>1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1</v>
          </cell>
          <cell r="N1067">
            <v>0</v>
          </cell>
          <cell r="P1067">
            <v>86.7</v>
          </cell>
        </row>
        <row r="1068">
          <cell r="C1068" t="str">
            <v>Treatment</v>
          </cell>
          <cell r="D1068" t="str">
            <v>East</v>
          </cell>
          <cell r="H1068">
            <v>1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P1068">
            <v>48.2</v>
          </cell>
        </row>
        <row r="1069">
          <cell r="C1069" t="str">
            <v>Treatment</v>
          </cell>
          <cell r="D1069" t="str">
            <v>West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1</v>
          </cell>
          <cell r="N1069">
            <v>0</v>
          </cell>
          <cell r="P1069">
            <v>57.6</v>
          </cell>
        </row>
        <row r="1070">
          <cell r="C1070" t="str">
            <v>Treatment</v>
          </cell>
          <cell r="D1070" t="str">
            <v>North</v>
          </cell>
          <cell r="H1070">
            <v>1</v>
          </cell>
          <cell r="I1070">
            <v>1</v>
          </cell>
          <cell r="J1070">
            <v>1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P1070">
            <v>75.7</v>
          </cell>
        </row>
        <row r="1071">
          <cell r="C1071" t="str">
            <v>Treatment</v>
          </cell>
          <cell r="D1071" t="str">
            <v>West</v>
          </cell>
          <cell r="H1071">
            <v>1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2</v>
          </cell>
          <cell r="N1071">
            <v>0</v>
          </cell>
          <cell r="P1071">
            <v>48.6</v>
          </cell>
        </row>
        <row r="1072">
          <cell r="C1072" t="str">
            <v>Treatment</v>
          </cell>
          <cell r="D1072" t="str">
            <v>East</v>
          </cell>
          <cell r="H1072">
            <v>1</v>
          </cell>
          <cell r="I1072">
            <v>1</v>
          </cell>
          <cell r="J1072">
            <v>1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P1072">
            <v>72</v>
          </cell>
        </row>
        <row r="1073">
          <cell r="C1073" t="str">
            <v>Treatment</v>
          </cell>
          <cell r="D1073" t="str">
            <v>North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P1073">
            <v>72.2</v>
          </cell>
        </row>
        <row r="1074">
          <cell r="C1074" t="str">
            <v>Treatment</v>
          </cell>
          <cell r="D1074" t="str">
            <v>East</v>
          </cell>
          <cell r="H1074">
            <v>1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1</v>
          </cell>
          <cell r="N1074">
            <v>0</v>
          </cell>
        </row>
        <row r="1075">
          <cell r="C1075" t="str">
            <v>Treatment</v>
          </cell>
          <cell r="D1075" t="str">
            <v>South</v>
          </cell>
          <cell r="H1075">
            <v>1</v>
          </cell>
          <cell r="I1075">
            <v>1</v>
          </cell>
          <cell r="J1075">
            <v>1</v>
          </cell>
          <cell r="K1075">
            <v>1</v>
          </cell>
          <cell r="L1075">
            <v>331.53</v>
          </cell>
          <cell r="M1075">
            <v>2</v>
          </cell>
          <cell r="N1075">
            <v>0</v>
          </cell>
          <cell r="O1075">
            <v>4</v>
          </cell>
          <cell r="P1075">
            <v>56.8</v>
          </cell>
        </row>
        <row r="1076">
          <cell r="C1076" t="str">
            <v>Treatment</v>
          </cell>
          <cell r="D1076" t="str">
            <v>East</v>
          </cell>
          <cell r="H1076">
            <v>1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P1076">
            <v>62.5</v>
          </cell>
        </row>
        <row r="1077">
          <cell r="C1077" t="str">
            <v>Treatment</v>
          </cell>
          <cell r="D1077" t="str">
            <v>South</v>
          </cell>
          <cell r="H1077">
            <v>1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P1077">
            <v>63.4</v>
          </cell>
        </row>
        <row r="1078">
          <cell r="C1078" t="str">
            <v>Treatment</v>
          </cell>
          <cell r="D1078" t="str">
            <v>North</v>
          </cell>
          <cell r="H1078">
            <v>1</v>
          </cell>
          <cell r="I1078">
            <v>1</v>
          </cell>
          <cell r="J1078">
            <v>1</v>
          </cell>
          <cell r="K1078">
            <v>1</v>
          </cell>
          <cell r="L1078">
            <v>774.78</v>
          </cell>
          <cell r="M1078">
            <v>0</v>
          </cell>
          <cell r="N1078">
            <v>0</v>
          </cell>
          <cell r="O1078">
            <v>3</v>
          </cell>
          <cell r="P1078">
            <v>46.8</v>
          </cell>
        </row>
        <row r="1079">
          <cell r="C1079" t="str">
            <v>Treatment</v>
          </cell>
          <cell r="D1079" t="str">
            <v>South</v>
          </cell>
          <cell r="H1079">
            <v>1</v>
          </cell>
          <cell r="I1079">
            <v>1</v>
          </cell>
          <cell r="J1079">
            <v>1</v>
          </cell>
          <cell r="K1079">
            <v>1</v>
          </cell>
          <cell r="L1079">
            <v>422.02</v>
          </cell>
          <cell r="M1079">
            <v>0</v>
          </cell>
          <cell r="N1079">
            <v>0</v>
          </cell>
          <cell r="O1079">
            <v>8</v>
          </cell>
          <cell r="P1079">
            <v>86.5</v>
          </cell>
        </row>
        <row r="1080">
          <cell r="C1080" t="str">
            <v>Treatment</v>
          </cell>
          <cell r="D1080" t="str">
            <v>West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1</v>
          </cell>
          <cell r="N1080">
            <v>0</v>
          </cell>
          <cell r="P1080">
            <v>75.099999999999994</v>
          </cell>
        </row>
        <row r="1081">
          <cell r="C1081" t="str">
            <v>Treatment</v>
          </cell>
          <cell r="D1081" t="str">
            <v>South</v>
          </cell>
          <cell r="H1081">
            <v>1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P1081">
            <v>64.5</v>
          </cell>
        </row>
        <row r="1082">
          <cell r="C1082" t="str">
            <v>Treatment</v>
          </cell>
          <cell r="D1082" t="str">
            <v>East</v>
          </cell>
          <cell r="H1082">
            <v>1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P1082">
            <v>54.2</v>
          </cell>
        </row>
        <row r="1083">
          <cell r="C1083" t="str">
            <v>Treatment</v>
          </cell>
          <cell r="D1083" t="str">
            <v>East</v>
          </cell>
          <cell r="H1083">
            <v>1</v>
          </cell>
          <cell r="I1083">
            <v>1</v>
          </cell>
          <cell r="J1083">
            <v>1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P1083">
            <v>84.1</v>
          </cell>
        </row>
        <row r="1084">
          <cell r="C1084" t="str">
            <v>Treatment</v>
          </cell>
          <cell r="D1084" t="str">
            <v>North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1</v>
          </cell>
          <cell r="N1084">
            <v>0</v>
          </cell>
          <cell r="P1084">
            <v>49.1</v>
          </cell>
        </row>
        <row r="1085">
          <cell r="C1085" t="str">
            <v>Treatment</v>
          </cell>
          <cell r="D1085" t="str">
            <v>South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P1085">
            <v>92.7</v>
          </cell>
        </row>
        <row r="1086">
          <cell r="C1086" t="str">
            <v>Treatment</v>
          </cell>
          <cell r="D1086" t="str">
            <v>South</v>
          </cell>
          <cell r="H1086">
            <v>1</v>
          </cell>
          <cell r="I1086">
            <v>1</v>
          </cell>
          <cell r="J1086">
            <v>1</v>
          </cell>
          <cell r="K1086">
            <v>0</v>
          </cell>
          <cell r="L1086">
            <v>0</v>
          </cell>
          <cell r="M1086">
            <v>1</v>
          </cell>
          <cell r="N1086">
            <v>0</v>
          </cell>
          <cell r="P1086">
            <v>58.7</v>
          </cell>
        </row>
        <row r="1087">
          <cell r="C1087" t="str">
            <v>Treatment</v>
          </cell>
          <cell r="D1087" t="str">
            <v>South</v>
          </cell>
          <cell r="H1087">
            <v>1</v>
          </cell>
          <cell r="I1087">
            <v>1</v>
          </cell>
          <cell r="J1087">
            <v>1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P1087">
            <v>59.3</v>
          </cell>
        </row>
        <row r="1088">
          <cell r="C1088" t="str">
            <v>Treatment</v>
          </cell>
          <cell r="D1088" t="str">
            <v>South</v>
          </cell>
          <cell r="H1088">
            <v>1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P1088">
            <v>62</v>
          </cell>
        </row>
        <row r="1089">
          <cell r="C1089" t="str">
            <v>Treatment</v>
          </cell>
          <cell r="D1089" t="str">
            <v>North</v>
          </cell>
          <cell r="H1089">
            <v>1</v>
          </cell>
          <cell r="I1089">
            <v>1</v>
          </cell>
          <cell r="J1089">
            <v>1</v>
          </cell>
          <cell r="K1089">
            <v>0</v>
          </cell>
          <cell r="L1089">
            <v>0</v>
          </cell>
          <cell r="M1089">
            <v>1</v>
          </cell>
          <cell r="N1089">
            <v>0</v>
          </cell>
          <cell r="P1089">
            <v>60.3</v>
          </cell>
        </row>
        <row r="1090">
          <cell r="C1090" t="str">
            <v>Treatment</v>
          </cell>
          <cell r="D1090" t="str">
            <v>North</v>
          </cell>
          <cell r="H1090">
            <v>1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P1090">
            <v>70.5</v>
          </cell>
        </row>
        <row r="1091">
          <cell r="C1091" t="str">
            <v>Treatment</v>
          </cell>
          <cell r="D1091" t="str">
            <v>South</v>
          </cell>
          <cell r="H1091">
            <v>1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P1091">
            <v>36.799999999999997</v>
          </cell>
        </row>
        <row r="1092">
          <cell r="C1092" t="str">
            <v>Treatment</v>
          </cell>
          <cell r="D1092" t="str">
            <v>South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1</v>
          </cell>
          <cell r="N1092">
            <v>0</v>
          </cell>
          <cell r="P1092">
            <v>73.2</v>
          </cell>
        </row>
        <row r="1093">
          <cell r="C1093" t="str">
            <v>Treatment</v>
          </cell>
          <cell r="D1093" t="str">
            <v>North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P1093">
            <v>70.099999999999994</v>
          </cell>
        </row>
        <row r="1094">
          <cell r="C1094" t="str">
            <v>Treatment</v>
          </cell>
          <cell r="D1094" t="str">
            <v>South</v>
          </cell>
          <cell r="H1094">
            <v>1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P1094">
            <v>76.400000000000006</v>
          </cell>
        </row>
        <row r="1095">
          <cell r="C1095" t="str">
            <v>Treatment</v>
          </cell>
          <cell r="D1095" t="str">
            <v>South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P1095">
            <v>46.4</v>
          </cell>
        </row>
        <row r="1096">
          <cell r="C1096" t="str">
            <v>Treatment</v>
          </cell>
          <cell r="D1096" t="str">
            <v>West</v>
          </cell>
          <cell r="H1096">
            <v>1</v>
          </cell>
          <cell r="I1096">
            <v>1</v>
          </cell>
          <cell r="J1096">
            <v>1</v>
          </cell>
          <cell r="K1096">
            <v>0</v>
          </cell>
          <cell r="L1096">
            <v>0</v>
          </cell>
          <cell r="M1096">
            <v>1</v>
          </cell>
          <cell r="N1096">
            <v>0</v>
          </cell>
          <cell r="P1096">
            <v>81.3</v>
          </cell>
        </row>
        <row r="1097">
          <cell r="C1097" t="str">
            <v>Treatment</v>
          </cell>
          <cell r="D1097" t="str">
            <v>South</v>
          </cell>
          <cell r="H1097">
            <v>1</v>
          </cell>
          <cell r="I1097">
            <v>1</v>
          </cell>
          <cell r="J1097">
            <v>1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P1097">
            <v>55.3</v>
          </cell>
        </row>
        <row r="1098">
          <cell r="C1098" t="str">
            <v>Treatment</v>
          </cell>
          <cell r="D1098" t="str">
            <v>East</v>
          </cell>
          <cell r="H1098">
            <v>1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P1098">
            <v>44.7</v>
          </cell>
        </row>
        <row r="1099">
          <cell r="C1099" t="str">
            <v>Treatment</v>
          </cell>
          <cell r="D1099" t="str">
            <v>East</v>
          </cell>
          <cell r="H1099">
            <v>1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P1099">
            <v>67.2</v>
          </cell>
        </row>
        <row r="1100">
          <cell r="C1100" t="str">
            <v>Treatment</v>
          </cell>
          <cell r="D1100" t="str">
            <v>North</v>
          </cell>
          <cell r="H1100">
            <v>1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</row>
        <row r="1101">
          <cell r="C1101" t="str">
            <v>Treatment</v>
          </cell>
          <cell r="D1101" t="str">
            <v>East</v>
          </cell>
          <cell r="H1101">
            <v>1</v>
          </cell>
          <cell r="I1101">
            <v>1</v>
          </cell>
          <cell r="J1101">
            <v>1</v>
          </cell>
          <cell r="K1101">
            <v>0</v>
          </cell>
          <cell r="L1101">
            <v>0</v>
          </cell>
          <cell r="M1101">
            <v>1</v>
          </cell>
          <cell r="N1101">
            <v>0</v>
          </cell>
          <cell r="P1101">
            <v>70.8</v>
          </cell>
        </row>
        <row r="1102">
          <cell r="C1102" t="str">
            <v>Treatment</v>
          </cell>
          <cell r="D1102" t="str">
            <v>South</v>
          </cell>
          <cell r="H1102">
            <v>1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P1102">
            <v>71.3</v>
          </cell>
        </row>
        <row r="1103">
          <cell r="C1103" t="str">
            <v>Treatment</v>
          </cell>
          <cell r="D1103" t="str">
            <v>North</v>
          </cell>
          <cell r="H1103">
            <v>1</v>
          </cell>
          <cell r="I1103">
            <v>1</v>
          </cell>
          <cell r="J1103">
            <v>1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P1103">
            <v>69.400000000000006</v>
          </cell>
        </row>
        <row r="1104">
          <cell r="C1104" t="str">
            <v>Treatment</v>
          </cell>
          <cell r="D1104" t="str">
            <v>South</v>
          </cell>
          <cell r="H1104">
            <v>1</v>
          </cell>
          <cell r="I1104">
            <v>1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P1104">
            <v>58.9</v>
          </cell>
        </row>
        <row r="1105">
          <cell r="C1105" t="str">
            <v>Treatment</v>
          </cell>
          <cell r="D1105" t="str">
            <v>East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P1105">
            <v>70.7</v>
          </cell>
        </row>
        <row r="1106">
          <cell r="C1106" t="str">
            <v>Treatment</v>
          </cell>
          <cell r="D1106" t="str">
            <v>West</v>
          </cell>
          <cell r="H1106">
            <v>1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P1106">
            <v>60.5</v>
          </cell>
        </row>
        <row r="1107">
          <cell r="C1107" t="str">
            <v>Treatment</v>
          </cell>
          <cell r="D1107" t="str">
            <v>North</v>
          </cell>
          <cell r="H1107">
            <v>1</v>
          </cell>
          <cell r="I1107">
            <v>1</v>
          </cell>
          <cell r="J1107">
            <v>1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P1107">
            <v>77.3</v>
          </cell>
        </row>
        <row r="1108">
          <cell r="C1108" t="str">
            <v>Treatment</v>
          </cell>
          <cell r="D1108" t="str">
            <v>North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1</v>
          </cell>
          <cell r="N1108">
            <v>0</v>
          </cell>
          <cell r="P1108">
            <v>39.5</v>
          </cell>
        </row>
        <row r="1109">
          <cell r="C1109" t="str">
            <v>Treatment</v>
          </cell>
          <cell r="D1109" t="str">
            <v>South</v>
          </cell>
          <cell r="H1109">
            <v>1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P1109">
            <v>68.099999999999994</v>
          </cell>
        </row>
        <row r="1110">
          <cell r="C1110" t="str">
            <v>Treatment</v>
          </cell>
          <cell r="D1110" t="str">
            <v>North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P1110">
            <v>80.3</v>
          </cell>
        </row>
        <row r="1111">
          <cell r="C1111" t="str">
            <v>Treatment</v>
          </cell>
          <cell r="D1111" t="str">
            <v>West</v>
          </cell>
          <cell r="H1111">
            <v>1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P1111">
            <v>77.7</v>
          </cell>
        </row>
        <row r="1112">
          <cell r="C1112" t="str">
            <v>Treatment</v>
          </cell>
          <cell r="D1112" t="str">
            <v>South</v>
          </cell>
          <cell r="H1112">
            <v>1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1</v>
          </cell>
          <cell r="N1112">
            <v>0</v>
          </cell>
          <cell r="P1112">
            <v>66.2</v>
          </cell>
        </row>
        <row r="1113">
          <cell r="C1113" t="str">
            <v>Treatment</v>
          </cell>
          <cell r="D1113" t="str">
            <v>South</v>
          </cell>
          <cell r="H1113">
            <v>1</v>
          </cell>
          <cell r="I1113">
            <v>1</v>
          </cell>
          <cell r="J1113">
            <v>1</v>
          </cell>
          <cell r="K1113">
            <v>0</v>
          </cell>
          <cell r="L1113">
            <v>0</v>
          </cell>
          <cell r="M1113">
            <v>1</v>
          </cell>
          <cell r="N1113">
            <v>0</v>
          </cell>
          <cell r="P1113">
            <v>43.9</v>
          </cell>
        </row>
        <row r="1114">
          <cell r="C1114" t="str">
            <v>Treatment</v>
          </cell>
          <cell r="D1114" t="str">
            <v>South</v>
          </cell>
          <cell r="H1114">
            <v>1</v>
          </cell>
          <cell r="I1114">
            <v>1</v>
          </cell>
          <cell r="J1114">
            <v>1</v>
          </cell>
          <cell r="K1114">
            <v>0</v>
          </cell>
          <cell r="L1114">
            <v>0</v>
          </cell>
          <cell r="M1114">
            <v>2</v>
          </cell>
          <cell r="N1114">
            <v>0</v>
          </cell>
          <cell r="P1114">
            <v>59.1</v>
          </cell>
        </row>
        <row r="1115">
          <cell r="C1115" t="str">
            <v>Treatment</v>
          </cell>
          <cell r="D1115" t="str">
            <v>South</v>
          </cell>
          <cell r="H1115">
            <v>1</v>
          </cell>
          <cell r="I1115">
            <v>1</v>
          </cell>
          <cell r="J1115">
            <v>1</v>
          </cell>
          <cell r="K1115">
            <v>1</v>
          </cell>
          <cell r="L1115">
            <v>416.94</v>
          </cell>
          <cell r="M1115">
            <v>1</v>
          </cell>
          <cell r="N1115">
            <v>0</v>
          </cell>
          <cell r="O1115">
            <v>11</v>
          </cell>
          <cell r="P1115">
            <v>67</v>
          </cell>
        </row>
        <row r="1116">
          <cell r="C1116" t="str">
            <v>Treatment</v>
          </cell>
          <cell r="D1116" t="str">
            <v>West</v>
          </cell>
          <cell r="H1116">
            <v>1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P1116">
            <v>47.9</v>
          </cell>
        </row>
        <row r="1117">
          <cell r="C1117" t="str">
            <v>Treatment</v>
          </cell>
          <cell r="D1117" t="str">
            <v>East</v>
          </cell>
          <cell r="H1117">
            <v>1</v>
          </cell>
          <cell r="I1117">
            <v>1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P1117">
            <v>41.5</v>
          </cell>
        </row>
        <row r="1118">
          <cell r="C1118" t="str">
            <v>Treatment</v>
          </cell>
          <cell r="D1118" t="str">
            <v>West</v>
          </cell>
          <cell r="H1118">
            <v>1</v>
          </cell>
          <cell r="I1118">
            <v>1</v>
          </cell>
          <cell r="J1118">
            <v>1</v>
          </cell>
          <cell r="K1118">
            <v>0</v>
          </cell>
          <cell r="L1118">
            <v>0</v>
          </cell>
          <cell r="M1118">
            <v>3</v>
          </cell>
          <cell r="N1118">
            <v>0</v>
          </cell>
          <cell r="P1118">
            <v>30.6</v>
          </cell>
        </row>
        <row r="1119">
          <cell r="C1119" t="str">
            <v>Treatment</v>
          </cell>
          <cell r="D1119" t="str">
            <v>East</v>
          </cell>
          <cell r="H1119">
            <v>1</v>
          </cell>
          <cell r="I1119">
            <v>1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P1119">
            <v>91.5</v>
          </cell>
        </row>
        <row r="1120">
          <cell r="C1120" t="str">
            <v>Treatment</v>
          </cell>
          <cell r="D1120" t="str">
            <v>North</v>
          </cell>
          <cell r="H1120">
            <v>1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P1120">
            <v>80.8</v>
          </cell>
        </row>
        <row r="1121">
          <cell r="C1121" t="str">
            <v>Treatment</v>
          </cell>
          <cell r="D1121" t="str">
            <v>North</v>
          </cell>
          <cell r="H1121">
            <v>1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P1121">
            <v>68.099999999999994</v>
          </cell>
        </row>
        <row r="1122">
          <cell r="C1122" t="str">
            <v>Treatment</v>
          </cell>
          <cell r="D1122" t="str">
            <v>East</v>
          </cell>
          <cell r="H1122">
            <v>1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P1122">
            <v>80.3</v>
          </cell>
        </row>
        <row r="1123">
          <cell r="C1123" t="str">
            <v>Treatment</v>
          </cell>
          <cell r="D1123" t="str">
            <v>South</v>
          </cell>
          <cell r="H1123">
            <v>1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P1123">
            <v>44.4</v>
          </cell>
        </row>
        <row r="1124">
          <cell r="C1124" t="str">
            <v>Treatment</v>
          </cell>
          <cell r="D1124" t="str">
            <v>South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P1124">
            <v>51.9</v>
          </cell>
        </row>
        <row r="1125">
          <cell r="C1125" t="str">
            <v>Treatment</v>
          </cell>
          <cell r="D1125" t="str">
            <v>East</v>
          </cell>
          <cell r="H1125">
            <v>1</v>
          </cell>
          <cell r="I1125">
            <v>1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P1125">
            <v>49.8</v>
          </cell>
        </row>
        <row r="1126">
          <cell r="C1126" t="str">
            <v>Treatment</v>
          </cell>
          <cell r="D1126" t="str">
            <v>East</v>
          </cell>
          <cell r="H1126">
            <v>1</v>
          </cell>
          <cell r="I1126">
            <v>1</v>
          </cell>
          <cell r="J1126">
            <v>1</v>
          </cell>
          <cell r="K1126">
            <v>0</v>
          </cell>
          <cell r="L1126">
            <v>0</v>
          </cell>
          <cell r="M1126">
            <v>3</v>
          </cell>
          <cell r="N1126">
            <v>0</v>
          </cell>
          <cell r="P1126">
            <v>62.1</v>
          </cell>
        </row>
        <row r="1127">
          <cell r="C1127" t="str">
            <v>Treatment</v>
          </cell>
          <cell r="D1127" t="str">
            <v>West</v>
          </cell>
          <cell r="H1127">
            <v>1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P1127">
            <v>91.3</v>
          </cell>
        </row>
        <row r="1128">
          <cell r="C1128" t="str">
            <v>Treatment</v>
          </cell>
          <cell r="D1128" t="str">
            <v>South</v>
          </cell>
          <cell r="H1128">
            <v>1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P1128">
            <v>66.400000000000006</v>
          </cell>
        </row>
        <row r="1129">
          <cell r="C1129" t="str">
            <v>Treatment</v>
          </cell>
          <cell r="D1129" t="str">
            <v>East</v>
          </cell>
          <cell r="H1129">
            <v>1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P1129">
            <v>41.5</v>
          </cell>
        </row>
        <row r="1130">
          <cell r="C1130" t="str">
            <v>Treatment</v>
          </cell>
          <cell r="D1130" t="str">
            <v>West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P1130">
            <v>77.099999999999994</v>
          </cell>
        </row>
        <row r="1131">
          <cell r="C1131" t="str">
            <v>Treatment</v>
          </cell>
          <cell r="D1131" t="str">
            <v>West</v>
          </cell>
          <cell r="H1131">
            <v>1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P1131">
            <v>63.2</v>
          </cell>
        </row>
        <row r="1132">
          <cell r="C1132" t="str">
            <v>Treatment</v>
          </cell>
          <cell r="D1132" t="str">
            <v>West</v>
          </cell>
          <cell r="H1132">
            <v>1</v>
          </cell>
          <cell r="I1132">
            <v>1</v>
          </cell>
          <cell r="J1132">
            <v>1</v>
          </cell>
          <cell r="K1132">
            <v>0</v>
          </cell>
          <cell r="L1132">
            <v>0</v>
          </cell>
          <cell r="M1132">
            <v>3</v>
          </cell>
          <cell r="N1132">
            <v>0</v>
          </cell>
          <cell r="P1132">
            <v>75.7</v>
          </cell>
        </row>
        <row r="1133">
          <cell r="C1133" t="str">
            <v>Treatment</v>
          </cell>
          <cell r="D1133" t="str">
            <v>West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P1133">
            <v>62.9</v>
          </cell>
        </row>
        <row r="1134">
          <cell r="C1134" t="str">
            <v>Treatment</v>
          </cell>
          <cell r="D1134" t="str">
            <v>North</v>
          </cell>
          <cell r="H1134">
            <v>1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3</v>
          </cell>
          <cell r="N1134">
            <v>0</v>
          </cell>
          <cell r="P1134">
            <v>64.599999999999994</v>
          </cell>
        </row>
        <row r="1135">
          <cell r="C1135" t="str">
            <v>Treatment</v>
          </cell>
          <cell r="D1135" t="str">
            <v>North</v>
          </cell>
          <cell r="H1135">
            <v>1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P1135">
            <v>76.599999999999994</v>
          </cell>
        </row>
        <row r="1136">
          <cell r="C1136" t="str">
            <v>Treatment</v>
          </cell>
          <cell r="D1136" t="str">
            <v>East</v>
          </cell>
          <cell r="H1136">
            <v>1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P1136">
            <v>74.8</v>
          </cell>
        </row>
        <row r="1137">
          <cell r="C1137" t="str">
            <v>Treatment</v>
          </cell>
          <cell r="D1137" t="str">
            <v>East</v>
          </cell>
          <cell r="H1137">
            <v>1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2</v>
          </cell>
          <cell r="N1137">
            <v>0</v>
          </cell>
          <cell r="P1137">
            <v>38.1</v>
          </cell>
        </row>
        <row r="1138">
          <cell r="C1138" t="str">
            <v>Treatment</v>
          </cell>
          <cell r="D1138" t="str">
            <v>South</v>
          </cell>
          <cell r="H1138">
            <v>1</v>
          </cell>
          <cell r="I1138">
            <v>1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P1138">
            <v>60.2</v>
          </cell>
        </row>
        <row r="1139">
          <cell r="C1139" t="str">
            <v>Treatment</v>
          </cell>
          <cell r="D1139" t="str">
            <v>West</v>
          </cell>
          <cell r="H1139">
            <v>1</v>
          </cell>
          <cell r="I1139">
            <v>1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P1139">
            <v>73.5</v>
          </cell>
        </row>
        <row r="1140">
          <cell r="C1140" t="str">
            <v>Treatment</v>
          </cell>
          <cell r="D1140" t="str">
            <v>South</v>
          </cell>
          <cell r="H1140">
            <v>1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P1140">
            <v>70.900000000000006</v>
          </cell>
        </row>
        <row r="1141">
          <cell r="C1141" t="str">
            <v>Treatment</v>
          </cell>
          <cell r="D1141" t="str">
            <v>West</v>
          </cell>
          <cell r="H1141">
            <v>1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P1141">
            <v>63.7</v>
          </cell>
        </row>
        <row r="1142">
          <cell r="C1142" t="str">
            <v>Treatment</v>
          </cell>
          <cell r="D1142" t="str">
            <v>South</v>
          </cell>
          <cell r="H1142">
            <v>1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P1142">
            <v>86.5</v>
          </cell>
        </row>
        <row r="1143">
          <cell r="C1143" t="str">
            <v>Treatment</v>
          </cell>
          <cell r="D1143" t="str">
            <v>East</v>
          </cell>
          <cell r="H1143">
            <v>1</v>
          </cell>
          <cell r="I1143">
            <v>1</v>
          </cell>
          <cell r="J1143">
            <v>1</v>
          </cell>
          <cell r="K1143">
            <v>1</v>
          </cell>
          <cell r="L1143">
            <v>921.72</v>
          </cell>
          <cell r="M1143">
            <v>3</v>
          </cell>
          <cell r="N1143">
            <v>0</v>
          </cell>
          <cell r="O1143">
            <v>7</v>
          </cell>
          <cell r="P1143">
            <v>74.599999999999994</v>
          </cell>
        </row>
        <row r="1144">
          <cell r="C1144" t="str">
            <v>Treatment</v>
          </cell>
          <cell r="D1144" t="str">
            <v>East</v>
          </cell>
          <cell r="H1144">
            <v>1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P1144">
            <v>46.6</v>
          </cell>
        </row>
        <row r="1145">
          <cell r="C1145" t="str">
            <v>Treatment</v>
          </cell>
          <cell r="D1145" t="str">
            <v>North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P1145">
            <v>61.2</v>
          </cell>
        </row>
        <row r="1146">
          <cell r="C1146" t="str">
            <v>Treatment</v>
          </cell>
          <cell r="D1146" t="str">
            <v>West</v>
          </cell>
          <cell r="H1146">
            <v>1</v>
          </cell>
          <cell r="I1146">
            <v>1</v>
          </cell>
          <cell r="J1146">
            <v>1</v>
          </cell>
          <cell r="K1146">
            <v>1</v>
          </cell>
          <cell r="L1146">
            <v>290.39</v>
          </cell>
          <cell r="M1146">
            <v>0</v>
          </cell>
          <cell r="N1146">
            <v>0</v>
          </cell>
          <cell r="O1146">
            <v>4</v>
          </cell>
          <cell r="P1146">
            <v>54.4</v>
          </cell>
        </row>
        <row r="1147">
          <cell r="C1147" t="str">
            <v>Treatment</v>
          </cell>
          <cell r="D1147" t="str">
            <v>North</v>
          </cell>
          <cell r="H1147">
            <v>1</v>
          </cell>
          <cell r="I1147">
            <v>1</v>
          </cell>
          <cell r="J1147">
            <v>1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P1147">
            <v>72</v>
          </cell>
        </row>
        <row r="1148">
          <cell r="C1148" t="str">
            <v>Treatment</v>
          </cell>
          <cell r="D1148" t="str">
            <v>South</v>
          </cell>
          <cell r="H1148">
            <v>1</v>
          </cell>
          <cell r="I1148">
            <v>1</v>
          </cell>
          <cell r="J1148">
            <v>1</v>
          </cell>
          <cell r="K1148">
            <v>1</v>
          </cell>
          <cell r="L1148">
            <v>1858.85</v>
          </cell>
          <cell r="M1148">
            <v>0</v>
          </cell>
          <cell r="N1148">
            <v>0</v>
          </cell>
          <cell r="O1148">
            <v>8</v>
          </cell>
          <cell r="P1148">
            <v>88.6</v>
          </cell>
        </row>
        <row r="1149">
          <cell r="C1149" t="str">
            <v>Treatment</v>
          </cell>
          <cell r="D1149" t="str">
            <v>East</v>
          </cell>
          <cell r="H1149">
            <v>1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P1149">
            <v>77.599999999999994</v>
          </cell>
        </row>
        <row r="1150">
          <cell r="C1150" t="str">
            <v>Treatment</v>
          </cell>
          <cell r="D1150" t="str">
            <v>South</v>
          </cell>
          <cell r="H1150">
            <v>1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1</v>
          </cell>
          <cell r="N1150">
            <v>0</v>
          </cell>
          <cell r="P1150">
            <v>44.3</v>
          </cell>
        </row>
        <row r="1151">
          <cell r="C1151" t="str">
            <v>Treatment</v>
          </cell>
          <cell r="D1151" t="str">
            <v>South</v>
          </cell>
          <cell r="H1151">
            <v>1</v>
          </cell>
          <cell r="I1151">
            <v>1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P1151">
            <v>49</v>
          </cell>
        </row>
        <row r="1152">
          <cell r="C1152" t="str">
            <v>Treatment</v>
          </cell>
          <cell r="D1152" t="str">
            <v>North</v>
          </cell>
          <cell r="H1152">
            <v>1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P1152">
            <v>53.9</v>
          </cell>
        </row>
        <row r="1153">
          <cell r="C1153" t="str">
            <v>Treatment</v>
          </cell>
          <cell r="D1153" t="str">
            <v>East</v>
          </cell>
          <cell r="H1153">
            <v>1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1</v>
          </cell>
          <cell r="N1153">
            <v>0</v>
          </cell>
          <cell r="P1153">
            <v>69</v>
          </cell>
        </row>
        <row r="1154">
          <cell r="C1154" t="str">
            <v>Treatment</v>
          </cell>
          <cell r="D1154" t="str">
            <v>West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P1154">
            <v>37.4</v>
          </cell>
        </row>
        <row r="1155">
          <cell r="C1155" t="str">
            <v>Treatment</v>
          </cell>
          <cell r="D1155" t="str">
            <v>West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P1155">
            <v>59</v>
          </cell>
        </row>
        <row r="1156">
          <cell r="C1156" t="str">
            <v>Treatment</v>
          </cell>
          <cell r="D1156" t="str">
            <v>East</v>
          </cell>
          <cell r="H1156">
            <v>1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P1156">
            <v>60.8</v>
          </cell>
        </row>
        <row r="1157">
          <cell r="C1157" t="str">
            <v>Treatment</v>
          </cell>
          <cell r="D1157" t="str">
            <v>South</v>
          </cell>
          <cell r="H1157">
            <v>1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P1157">
            <v>57.5</v>
          </cell>
        </row>
        <row r="1158">
          <cell r="C1158" t="str">
            <v>Treatment</v>
          </cell>
          <cell r="D1158" t="str">
            <v>West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P1158">
            <v>84.2</v>
          </cell>
        </row>
        <row r="1159">
          <cell r="C1159" t="str">
            <v>Treatment</v>
          </cell>
          <cell r="D1159" t="str">
            <v>South</v>
          </cell>
          <cell r="H1159">
            <v>1</v>
          </cell>
          <cell r="I1159">
            <v>1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P1159">
            <v>27.4</v>
          </cell>
        </row>
        <row r="1160">
          <cell r="C1160" t="str">
            <v>Treatment</v>
          </cell>
          <cell r="D1160" t="str">
            <v>West</v>
          </cell>
          <cell r="H1160">
            <v>1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1</v>
          </cell>
          <cell r="N1160">
            <v>0</v>
          </cell>
          <cell r="P1160">
            <v>67.599999999999994</v>
          </cell>
        </row>
        <row r="1161">
          <cell r="C1161" t="str">
            <v>Treatment</v>
          </cell>
          <cell r="D1161" t="str">
            <v>West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P1161">
            <v>68.400000000000006</v>
          </cell>
        </row>
        <row r="1162">
          <cell r="C1162" t="str">
            <v>Treatment</v>
          </cell>
          <cell r="D1162" t="str">
            <v>South</v>
          </cell>
          <cell r="H1162">
            <v>1</v>
          </cell>
          <cell r="I1162">
            <v>1</v>
          </cell>
          <cell r="J1162">
            <v>1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P1162">
            <v>66.5</v>
          </cell>
        </row>
        <row r="1163">
          <cell r="C1163" t="str">
            <v>Treatment</v>
          </cell>
          <cell r="D1163" t="str">
            <v>South</v>
          </cell>
          <cell r="H1163">
            <v>1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P1163">
            <v>38.200000000000003</v>
          </cell>
        </row>
        <row r="1164">
          <cell r="C1164" t="str">
            <v>Treatment</v>
          </cell>
          <cell r="D1164" t="str">
            <v>West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1</v>
          </cell>
          <cell r="N1164">
            <v>0</v>
          </cell>
          <cell r="P1164">
            <v>66.7</v>
          </cell>
        </row>
        <row r="1165">
          <cell r="C1165" t="str">
            <v>Treatment</v>
          </cell>
          <cell r="D1165" t="str">
            <v>North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1</v>
          </cell>
          <cell r="N1165">
            <v>0</v>
          </cell>
          <cell r="P1165">
            <v>73.7</v>
          </cell>
        </row>
        <row r="1166">
          <cell r="C1166" t="str">
            <v>Treatment</v>
          </cell>
          <cell r="D1166" t="str">
            <v>West</v>
          </cell>
          <cell r="H1166">
            <v>1</v>
          </cell>
          <cell r="I1166">
            <v>1</v>
          </cell>
          <cell r="J1166">
            <v>1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P1166">
            <v>63.9</v>
          </cell>
        </row>
        <row r="1167">
          <cell r="C1167" t="str">
            <v>Treatment</v>
          </cell>
          <cell r="D1167" t="str">
            <v>South</v>
          </cell>
          <cell r="H1167">
            <v>1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1</v>
          </cell>
          <cell r="N1167">
            <v>0</v>
          </cell>
          <cell r="P1167">
            <v>82.6</v>
          </cell>
        </row>
        <row r="1168">
          <cell r="C1168" t="str">
            <v>Treatment</v>
          </cell>
          <cell r="D1168" t="str">
            <v>East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1</v>
          </cell>
          <cell r="N1168">
            <v>0</v>
          </cell>
          <cell r="P1168">
            <v>58.3</v>
          </cell>
        </row>
        <row r="1169">
          <cell r="C1169" t="str">
            <v>Treatment</v>
          </cell>
          <cell r="D1169" t="str">
            <v>West</v>
          </cell>
          <cell r="H1169">
            <v>1</v>
          </cell>
          <cell r="I1169">
            <v>1</v>
          </cell>
          <cell r="J1169">
            <v>1</v>
          </cell>
          <cell r="K1169">
            <v>1</v>
          </cell>
          <cell r="L1169">
            <v>1547.06</v>
          </cell>
          <cell r="M1169">
            <v>0</v>
          </cell>
          <cell r="N1169">
            <v>1</v>
          </cell>
          <cell r="O1169">
            <v>2</v>
          </cell>
          <cell r="P1169">
            <v>72.900000000000006</v>
          </cell>
        </row>
        <row r="1170">
          <cell r="C1170" t="str">
            <v>Treatment</v>
          </cell>
          <cell r="D1170" t="str">
            <v>South</v>
          </cell>
          <cell r="H1170">
            <v>1</v>
          </cell>
          <cell r="I1170">
            <v>1</v>
          </cell>
          <cell r="J1170">
            <v>1</v>
          </cell>
          <cell r="K1170">
            <v>0</v>
          </cell>
          <cell r="L1170">
            <v>0</v>
          </cell>
          <cell r="M1170">
            <v>2</v>
          </cell>
          <cell r="N1170">
            <v>0</v>
          </cell>
          <cell r="P1170">
            <v>53.5</v>
          </cell>
        </row>
        <row r="1171">
          <cell r="C1171" t="str">
            <v>Treatment</v>
          </cell>
          <cell r="D1171" t="str">
            <v>West</v>
          </cell>
          <cell r="H1171">
            <v>1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P1171">
            <v>54.8</v>
          </cell>
        </row>
        <row r="1172">
          <cell r="C1172" t="str">
            <v>Treatment</v>
          </cell>
          <cell r="D1172" t="str">
            <v>North</v>
          </cell>
          <cell r="H1172">
            <v>1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P1172">
            <v>69.5</v>
          </cell>
        </row>
        <row r="1173">
          <cell r="C1173" t="str">
            <v>Treatment</v>
          </cell>
          <cell r="D1173" t="str">
            <v>North</v>
          </cell>
          <cell r="H1173">
            <v>1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1</v>
          </cell>
          <cell r="N1173">
            <v>0</v>
          </cell>
          <cell r="P1173">
            <v>71.3</v>
          </cell>
        </row>
        <row r="1174">
          <cell r="C1174" t="str">
            <v>Treatment</v>
          </cell>
          <cell r="D1174" t="str">
            <v>West</v>
          </cell>
          <cell r="H1174">
            <v>1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1</v>
          </cell>
          <cell r="N1174">
            <v>0</v>
          </cell>
          <cell r="P1174">
            <v>57.5</v>
          </cell>
        </row>
        <row r="1175">
          <cell r="C1175" t="str">
            <v>Treatment</v>
          </cell>
          <cell r="D1175" t="str">
            <v>South</v>
          </cell>
          <cell r="H1175">
            <v>1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4</v>
          </cell>
          <cell r="N1175">
            <v>0</v>
          </cell>
          <cell r="P1175">
            <v>50.9</v>
          </cell>
        </row>
        <row r="1176">
          <cell r="C1176" t="str">
            <v>Treatment</v>
          </cell>
          <cell r="D1176" t="str">
            <v>South</v>
          </cell>
          <cell r="H1176">
            <v>1</v>
          </cell>
          <cell r="I1176">
            <v>1</v>
          </cell>
          <cell r="J1176">
            <v>1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P1176">
            <v>69.3</v>
          </cell>
        </row>
        <row r="1177">
          <cell r="C1177" t="str">
            <v>Treatment</v>
          </cell>
          <cell r="D1177" t="str">
            <v>West</v>
          </cell>
          <cell r="H1177">
            <v>1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P1177">
            <v>50.1</v>
          </cell>
        </row>
        <row r="1178">
          <cell r="C1178" t="str">
            <v>Treatment</v>
          </cell>
          <cell r="D1178" t="str">
            <v>East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P1178">
            <v>69.7</v>
          </cell>
        </row>
        <row r="1179">
          <cell r="C1179" t="str">
            <v>Treatment</v>
          </cell>
          <cell r="D1179" t="str">
            <v>North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P1179">
            <v>63.5</v>
          </cell>
        </row>
        <row r="1180">
          <cell r="C1180" t="str">
            <v>Treatment</v>
          </cell>
          <cell r="D1180" t="str">
            <v>West</v>
          </cell>
          <cell r="H1180">
            <v>1</v>
          </cell>
          <cell r="I1180">
            <v>1</v>
          </cell>
          <cell r="J1180">
            <v>1</v>
          </cell>
          <cell r="K1180">
            <v>1</v>
          </cell>
          <cell r="L1180">
            <v>265.58999999999997</v>
          </cell>
          <cell r="M1180">
            <v>1</v>
          </cell>
          <cell r="N1180">
            <v>0</v>
          </cell>
          <cell r="O1180">
            <v>8</v>
          </cell>
          <cell r="P1180">
            <v>80.400000000000006</v>
          </cell>
        </row>
        <row r="1181">
          <cell r="C1181" t="str">
            <v>Treatment</v>
          </cell>
          <cell r="D1181" t="str">
            <v>North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P1181">
            <v>58.9</v>
          </cell>
        </row>
        <row r="1182">
          <cell r="C1182" t="str">
            <v>Treatment</v>
          </cell>
          <cell r="D1182" t="str">
            <v>South</v>
          </cell>
          <cell r="H1182">
            <v>1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P1182">
            <v>56.8</v>
          </cell>
        </row>
        <row r="1183">
          <cell r="C1183" t="str">
            <v>Treatment</v>
          </cell>
          <cell r="D1183" t="str">
            <v>East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P1183">
            <v>73.900000000000006</v>
          </cell>
        </row>
        <row r="1184">
          <cell r="C1184" t="str">
            <v>Treatment</v>
          </cell>
          <cell r="D1184" t="str">
            <v>North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P1184">
            <v>76.3</v>
          </cell>
        </row>
        <row r="1185">
          <cell r="C1185" t="str">
            <v>Treatment</v>
          </cell>
          <cell r="D1185" t="str">
            <v>West</v>
          </cell>
          <cell r="H1185">
            <v>1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P1185">
            <v>56.9</v>
          </cell>
        </row>
        <row r="1186">
          <cell r="C1186" t="str">
            <v>Treatment</v>
          </cell>
          <cell r="D1186" t="str">
            <v>North</v>
          </cell>
          <cell r="H1186">
            <v>1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2</v>
          </cell>
          <cell r="N1186">
            <v>0</v>
          </cell>
          <cell r="P1186">
            <v>49.4</v>
          </cell>
        </row>
        <row r="1187">
          <cell r="C1187" t="str">
            <v>Treatment</v>
          </cell>
          <cell r="D1187" t="str">
            <v>North</v>
          </cell>
          <cell r="H1187">
            <v>1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P1187">
            <v>86.7</v>
          </cell>
        </row>
        <row r="1188">
          <cell r="C1188" t="str">
            <v>Treatment</v>
          </cell>
          <cell r="D1188" t="str">
            <v>West</v>
          </cell>
          <cell r="H1188">
            <v>1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3</v>
          </cell>
          <cell r="N1188">
            <v>0</v>
          </cell>
          <cell r="P1188">
            <v>69</v>
          </cell>
        </row>
        <row r="1189">
          <cell r="C1189" t="str">
            <v>Treatment</v>
          </cell>
          <cell r="D1189" t="str">
            <v>North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P1189">
            <v>84.5</v>
          </cell>
        </row>
        <row r="1190">
          <cell r="C1190" t="str">
            <v>Treatment</v>
          </cell>
          <cell r="D1190" t="str">
            <v>East</v>
          </cell>
          <cell r="H1190">
            <v>1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P1190">
            <v>66.3</v>
          </cell>
        </row>
        <row r="1191">
          <cell r="C1191" t="str">
            <v>Treatment</v>
          </cell>
          <cell r="D1191" t="str">
            <v>East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P1191">
            <v>52.2</v>
          </cell>
        </row>
        <row r="1192">
          <cell r="C1192" t="str">
            <v>Treatment</v>
          </cell>
          <cell r="D1192" t="str">
            <v>South</v>
          </cell>
          <cell r="H1192">
            <v>1</v>
          </cell>
          <cell r="I1192">
            <v>1</v>
          </cell>
          <cell r="J1192">
            <v>1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P1192">
            <v>81.2</v>
          </cell>
        </row>
        <row r="1193">
          <cell r="C1193" t="str">
            <v>Treatment</v>
          </cell>
          <cell r="D1193" t="str">
            <v>South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P1193">
            <v>53.9</v>
          </cell>
        </row>
        <row r="1194">
          <cell r="C1194" t="str">
            <v>Treatment</v>
          </cell>
          <cell r="D1194" t="str">
            <v>West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P1194">
            <v>39.1</v>
          </cell>
        </row>
        <row r="1195">
          <cell r="C1195" t="str">
            <v>Treatment</v>
          </cell>
          <cell r="D1195" t="str">
            <v>North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P1195">
            <v>57.3</v>
          </cell>
        </row>
        <row r="1196">
          <cell r="C1196" t="str">
            <v>Treatment</v>
          </cell>
          <cell r="D1196" t="str">
            <v>East</v>
          </cell>
          <cell r="H1196">
            <v>1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1</v>
          </cell>
          <cell r="N1196">
            <v>0</v>
          </cell>
          <cell r="P1196">
            <v>65.900000000000006</v>
          </cell>
        </row>
        <row r="1197">
          <cell r="C1197" t="str">
            <v>Treatment</v>
          </cell>
          <cell r="D1197" t="str">
            <v>North</v>
          </cell>
          <cell r="H1197">
            <v>1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1</v>
          </cell>
          <cell r="N1197">
            <v>0</v>
          </cell>
          <cell r="P1197">
            <v>34.200000000000003</v>
          </cell>
        </row>
        <row r="1198">
          <cell r="C1198" t="str">
            <v>Treatment</v>
          </cell>
          <cell r="D1198" t="str">
            <v>South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P1198">
            <v>47.2</v>
          </cell>
        </row>
        <row r="1199">
          <cell r="C1199" t="str">
            <v>Treatment</v>
          </cell>
          <cell r="D1199" t="str">
            <v>South</v>
          </cell>
          <cell r="H1199">
            <v>1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1</v>
          </cell>
          <cell r="N1199">
            <v>0</v>
          </cell>
          <cell r="P1199">
            <v>55</v>
          </cell>
        </row>
        <row r="1200">
          <cell r="C1200" t="str">
            <v>Treatment</v>
          </cell>
          <cell r="D1200" t="str">
            <v>West</v>
          </cell>
          <cell r="H1200">
            <v>1</v>
          </cell>
          <cell r="I1200">
            <v>1</v>
          </cell>
          <cell r="J1200">
            <v>1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P1200">
            <v>76.400000000000006</v>
          </cell>
        </row>
        <row r="1201">
          <cell r="C1201" t="str">
            <v>Treatment</v>
          </cell>
          <cell r="D1201" t="str">
            <v>North</v>
          </cell>
          <cell r="H1201">
            <v>1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P1201">
            <v>70.8</v>
          </cell>
        </row>
        <row r="1202">
          <cell r="C1202" t="str">
            <v>Treatment</v>
          </cell>
          <cell r="D1202" t="str">
            <v>East</v>
          </cell>
          <cell r="H1202">
            <v>1</v>
          </cell>
          <cell r="I1202">
            <v>1</v>
          </cell>
          <cell r="J1202">
            <v>0</v>
          </cell>
          <cell r="K1202">
            <v>0</v>
          </cell>
          <cell r="L1202">
            <v>0</v>
          </cell>
          <cell r="M1202">
            <v>1</v>
          </cell>
          <cell r="N1202">
            <v>0</v>
          </cell>
          <cell r="P1202">
            <v>58</v>
          </cell>
        </row>
        <row r="1203">
          <cell r="C1203" t="str">
            <v>Treatment</v>
          </cell>
          <cell r="D1203" t="str">
            <v>West</v>
          </cell>
          <cell r="H1203">
            <v>1</v>
          </cell>
          <cell r="I1203">
            <v>1</v>
          </cell>
          <cell r="J1203">
            <v>1</v>
          </cell>
          <cell r="K1203">
            <v>0</v>
          </cell>
          <cell r="L1203">
            <v>0</v>
          </cell>
          <cell r="M1203">
            <v>1</v>
          </cell>
          <cell r="N1203">
            <v>0</v>
          </cell>
          <cell r="P1203">
            <v>70.8</v>
          </cell>
        </row>
        <row r="1204">
          <cell r="C1204" t="str">
            <v>Treatment</v>
          </cell>
          <cell r="D1204" t="str">
            <v>East</v>
          </cell>
          <cell r="H1204">
            <v>1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3</v>
          </cell>
          <cell r="N1204">
            <v>0</v>
          </cell>
          <cell r="P1204">
            <v>60</v>
          </cell>
        </row>
        <row r="1205">
          <cell r="C1205" t="str">
            <v>Treatment</v>
          </cell>
          <cell r="D1205" t="str">
            <v>West</v>
          </cell>
          <cell r="H1205">
            <v>1</v>
          </cell>
          <cell r="I1205">
            <v>1</v>
          </cell>
          <cell r="J1205">
            <v>1</v>
          </cell>
          <cell r="K1205">
            <v>0</v>
          </cell>
          <cell r="L1205">
            <v>0</v>
          </cell>
          <cell r="M1205">
            <v>3</v>
          </cell>
          <cell r="N1205">
            <v>0</v>
          </cell>
          <cell r="P1205">
            <v>58.1</v>
          </cell>
        </row>
        <row r="1206">
          <cell r="C1206" t="str">
            <v>Treatment</v>
          </cell>
          <cell r="D1206" t="str">
            <v>North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P1206">
            <v>59.7</v>
          </cell>
        </row>
        <row r="1207">
          <cell r="C1207" t="str">
            <v>Treatment</v>
          </cell>
          <cell r="D1207" t="str">
            <v>East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P1207">
            <v>47.7</v>
          </cell>
        </row>
        <row r="1208">
          <cell r="C1208" t="str">
            <v>Treatment</v>
          </cell>
          <cell r="D1208" t="str">
            <v>North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P1208">
            <v>59.1</v>
          </cell>
        </row>
        <row r="1209">
          <cell r="C1209" t="str">
            <v>Treatment</v>
          </cell>
          <cell r="D1209" t="str">
            <v>West</v>
          </cell>
          <cell r="H1209">
            <v>1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1</v>
          </cell>
          <cell r="N1209">
            <v>0</v>
          </cell>
          <cell r="P1209">
            <v>68.7</v>
          </cell>
        </row>
        <row r="1210">
          <cell r="C1210" t="str">
            <v>Treatment</v>
          </cell>
          <cell r="D1210" t="str">
            <v>East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P1210">
            <v>34.700000000000003</v>
          </cell>
        </row>
        <row r="1211">
          <cell r="C1211" t="str">
            <v>Treatment</v>
          </cell>
          <cell r="D1211" t="str">
            <v>West</v>
          </cell>
          <cell r="H1211">
            <v>1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P1211">
            <v>62</v>
          </cell>
        </row>
        <row r="1212">
          <cell r="C1212" t="str">
            <v>Treatment</v>
          </cell>
          <cell r="D1212" t="str">
            <v>South</v>
          </cell>
          <cell r="H1212">
            <v>1</v>
          </cell>
          <cell r="I1212">
            <v>1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P1212">
            <v>56</v>
          </cell>
        </row>
        <row r="1213">
          <cell r="C1213" t="str">
            <v>Treatment</v>
          </cell>
          <cell r="D1213" t="str">
            <v>North</v>
          </cell>
          <cell r="H1213">
            <v>1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1</v>
          </cell>
          <cell r="N1213">
            <v>0</v>
          </cell>
          <cell r="P1213">
            <v>65.8</v>
          </cell>
        </row>
        <row r="1214">
          <cell r="C1214" t="str">
            <v>Treatment</v>
          </cell>
          <cell r="D1214" t="str">
            <v>North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P1214">
            <v>54.7</v>
          </cell>
        </row>
        <row r="1215">
          <cell r="C1215" t="str">
            <v>Treatment</v>
          </cell>
          <cell r="D1215" t="str">
            <v>South</v>
          </cell>
          <cell r="H1215">
            <v>1</v>
          </cell>
          <cell r="I1215">
            <v>1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P1215">
            <v>64.099999999999994</v>
          </cell>
        </row>
        <row r="1216">
          <cell r="C1216" t="str">
            <v>Treatment</v>
          </cell>
          <cell r="D1216" t="str">
            <v>South</v>
          </cell>
          <cell r="H1216">
            <v>1</v>
          </cell>
          <cell r="I1216">
            <v>1</v>
          </cell>
          <cell r="J1216">
            <v>1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P1216">
            <v>71.599999999999994</v>
          </cell>
        </row>
        <row r="1217">
          <cell r="C1217" t="str">
            <v>Treatment</v>
          </cell>
          <cell r="D1217" t="str">
            <v>North</v>
          </cell>
          <cell r="H1217">
            <v>1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P1217">
            <v>78.400000000000006</v>
          </cell>
        </row>
        <row r="1218">
          <cell r="C1218" t="str">
            <v>Treatment</v>
          </cell>
          <cell r="D1218" t="str">
            <v>East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P1218">
            <v>49.3</v>
          </cell>
        </row>
        <row r="1219">
          <cell r="C1219" t="str">
            <v>Treatment</v>
          </cell>
          <cell r="D1219" t="str">
            <v>North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P1219">
            <v>52.8</v>
          </cell>
        </row>
        <row r="1220">
          <cell r="C1220" t="str">
            <v>Treatment</v>
          </cell>
          <cell r="D1220" t="str">
            <v>West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P1220">
            <v>58.5</v>
          </cell>
        </row>
        <row r="1221">
          <cell r="C1221" t="str">
            <v>Treatment</v>
          </cell>
          <cell r="D1221" t="str">
            <v>South</v>
          </cell>
          <cell r="H1221">
            <v>1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P1221">
            <v>55.9</v>
          </cell>
        </row>
        <row r="1222">
          <cell r="C1222" t="str">
            <v>Treatment</v>
          </cell>
          <cell r="D1222" t="str">
            <v>North</v>
          </cell>
          <cell r="H1222">
            <v>1</v>
          </cell>
          <cell r="I1222">
            <v>1</v>
          </cell>
          <cell r="J1222">
            <v>1</v>
          </cell>
          <cell r="K1222">
            <v>1</v>
          </cell>
          <cell r="L1222">
            <v>351.43</v>
          </cell>
          <cell r="M1222">
            <v>1</v>
          </cell>
          <cell r="N1222">
            <v>0</v>
          </cell>
          <cell r="O1222">
            <v>6</v>
          </cell>
          <cell r="P1222">
            <v>74.900000000000006</v>
          </cell>
        </row>
        <row r="1223">
          <cell r="C1223" t="str">
            <v>Treatment</v>
          </cell>
          <cell r="D1223" t="str">
            <v>South</v>
          </cell>
          <cell r="H1223">
            <v>1</v>
          </cell>
          <cell r="I1223">
            <v>1</v>
          </cell>
          <cell r="J1223">
            <v>1</v>
          </cell>
          <cell r="K1223">
            <v>1</v>
          </cell>
          <cell r="L1223">
            <v>352.42</v>
          </cell>
          <cell r="M1223">
            <v>0</v>
          </cell>
          <cell r="N1223">
            <v>0</v>
          </cell>
          <cell r="O1223">
            <v>4</v>
          </cell>
          <cell r="P1223">
            <v>58.5</v>
          </cell>
        </row>
        <row r="1224">
          <cell r="C1224" t="str">
            <v>Treatment</v>
          </cell>
          <cell r="D1224" t="str">
            <v>West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P1224">
            <v>63.5</v>
          </cell>
        </row>
        <row r="1225">
          <cell r="C1225" t="str">
            <v>Treatment</v>
          </cell>
          <cell r="D1225" t="str">
            <v>North</v>
          </cell>
          <cell r="H1225">
            <v>1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1</v>
          </cell>
          <cell r="N1225">
            <v>0</v>
          </cell>
          <cell r="P1225">
            <v>64.8</v>
          </cell>
        </row>
        <row r="1226">
          <cell r="C1226" t="str">
            <v>Treatment</v>
          </cell>
          <cell r="D1226" t="str">
            <v>West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P1226">
            <v>63.3</v>
          </cell>
        </row>
        <row r="1227">
          <cell r="C1227" t="str">
            <v>Treatment</v>
          </cell>
          <cell r="D1227" t="str">
            <v>North</v>
          </cell>
          <cell r="H1227">
            <v>1</v>
          </cell>
          <cell r="I1227">
            <v>1</v>
          </cell>
          <cell r="J1227">
            <v>1</v>
          </cell>
          <cell r="K1227">
            <v>1</v>
          </cell>
          <cell r="L1227">
            <v>1074.1600000000001</v>
          </cell>
          <cell r="M1227">
            <v>0</v>
          </cell>
          <cell r="N1227">
            <v>0</v>
          </cell>
          <cell r="O1227">
            <v>8</v>
          </cell>
          <cell r="P1227">
            <v>83.7</v>
          </cell>
        </row>
        <row r="1228">
          <cell r="C1228" t="str">
            <v>Treatment</v>
          </cell>
          <cell r="D1228" t="str">
            <v>South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P1228">
            <v>88.7</v>
          </cell>
        </row>
        <row r="1229">
          <cell r="C1229" t="str">
            <v>Treatment</v>
          </cell>
          <cell r="D1229" t="str">
            <v>East</v>
          </cell>
          <cell r="H1229">
            <v>1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1</v>
          </cell>
          <cell r="N1229">
            <v>0</v>
          </cell>
          <cell r="P1229">
            <v>61.5</v>
          </cell>
        </row>
        <row r="1230">
          <cell r="C1230" t="str">
            <v>Treatment</v>
          </cell>
          <cell r="D1230" t="str">
            <v>West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P1230">
            <v>45.3</v>
          </cell>
        </row>
        <row r="1231">
          <cell r="C1231" t="str">
            <v>Treatment</v>
          </cell>
          <cell r="D1231" t="str">
            <v>North</v>
          </cell>
          <cell r="H1231">
            <v>1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P1231">
            <v>37.299999999999997</v>
          </cell>
        </row>
        <row r="1232">
          <cell r="C1232" t="str">
            <v>Treatment</v>
          </cell>
          <cell r="D1232" t="str">
            <v>West</v>
          </cell>
          <cell r="H1232">
            <v>1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1</v>
          </cell>
          <cell r="N1232">
            <v>0</v>
          </cell>
          <cell r="P1232">
            <v>76.099999999999994</v>
          </cell>
        </row>
        <row r="1233">
          <cell r="C1233" t="str">
            <v>Treatment</v>
          </cell>
          <cell r="D1233" t="str">
            <v>East</v>
          </cell>
          <cell r="H1233">
            <v>1</v>
          </cell>
          <cell r="I1233">
            <v>1</v>
          </cell>
          <cell r="J1233">
            <v>1</v>
          </cell>
          <cell r="K1233">
            <v>0</v>
          </cell>
          <cell r="L1233">
            <v>0</v>
          </cell>
          <cell r="M1233">
            <v>1</v>
          </cell>
          <cell r="N1233">
            <v>0</v>
          </cell>
          <cell r="P1233">
            <v>72.5</v>
          </cell>
        </row>
        <row r="1234">
          <cell r="C1234" t="str">
            <v>Treatment</v>
          </cell>
          <cell r="D1234" t="str">
            <v>East</v>
          </cell>
          <cell r="H1234">
            <v>1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P1234">
            <v>62.3</v>
          </cell>
        </row>
        <row r="1235">
          <cell r="C1235" t="str">
            <v>Treatment</v>
          </cell>
          <cell r="D1235" t="str">
            <v>East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P1235">
            <v>62.7</v>
          </cell>
        </row>
        <row r="1236">
          <cell r="C1236" t="str">
            <v>Treatment</v>
          </cell>
          <cell r="D1236" t="str">
            <v>North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P1236">
            <v>82.4</v>
          </cell>
        </row>
        <row r="1237">
          <cell r="C1237" t="str">
            <v>Treatment</v>
          </cell>
          <cell r="D1237" t="str">
            <v>West</v>
          </cell>
          <cell r="H1237">
            <v>1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P1237">
            <v>78.900000000000006</v>
          </cell>
        </row>
        <row r="1238">
          <cell r="C1238" t="str">
            <v>Treatment</v>
          </cell>
          <cell r="D1238" t="str">
            <v>West</v>
          </cell>
          <cell r="H1238">
            <v>1</v>
          </cell>
          <cell r="I1238">
            <v>1</v>
          </cell>
          <cell r="J1238">
            <v>1</v>
          </cell>
          <cell r="K1238">
            <v>1</v>
          </cell>
          <cell r="L1238">
            <v>618.91</v>
          </cell>
          <cell r="M1238">
            <v>0</v>
          </cell>
          <cell r="N1238">
            <v>0</v>
          </cell>
          <cell r="O1238">
            <v>4</v>
          </cell>
          <cell r="P1238">
            <v>67.8</v>
          </cell>
        </row>
        <row r="1239">
          <cell r="C1239" t="str">
            <v>Treatment</v>
          </cell>
          <cell r="D1239" t="str">
            <v>East</v>
          </cell>
          <cell r="H1239">
            <v>1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P1239">
            <v>68.8</v>
          </cell>
        </row>
        <row r="1240">
          <cell r="C1240" t="str">
            <v>Treatment</v>
          </cell>
          <cell r="D1240" t="str">
            <v>East</v>
          </cell>
          <cell r="H1240">
            <v>1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P1240">
            <v>67.7</v>
          </cell>
        </row>
        <row r="1241">
          <cell r="C1241" t="str">
            <v>Treatment</v>
          </cell>
          <cell r="D1241" t="str">
            <v>East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P1241">
            <v>88</v>
          </cell>
        </row>
        <row r="1242">
          <cell r="C1242" t="str">
            <v>Treatment</v>
          </cell>
          <cell r="D1242" t="str">
            <v>West</v>
          </cell>
          <cell r="H1242">
            <v>1</v>
          </cell>
          <cell r="I1242">
            <v>1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P1242">
            <v>80.099999999999994</v>
          </cell>
        </row>
        <row r="1243">
          <cell r="C1243" t="str">
            <v>Treatment</v>
          </cell>
          <cell r="D1243" t="str">
            <v>North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1</v>
          </cell>
          <cell r="N1243">
            <v>0</v>
          </cell>
          <cell r="P1243">
            <v>48.2</v>
          </cell>
        </row>
        <row r="1244">
          <cell r="C1244" t="str">
            <v>Treatment</v>
          </cell>
          <cell r="D1244" t="str">
            <v>East</v>
          </cell>
          <cell r="H1244">
            <v>1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P1244">
            <v>52.7</v>
          </cell>
        </row>
        <row r="1245">
          <cell r="C1245" t="str">
            <v>Treatment</v>
          </cell>
          <cell r="D1245" t="str">
            <v>North</v>
          </cell>
          <cell r="H1245">
            <v>1</v>
          </cell>
          <cell r="I1245">
            <v>1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P1245">
            <v>59.9</v>
          </cell>
        </row>
        <row r="1246">
          <cell r="C1246" t="str">
            <v>Treatment</v>
          </cell>
          <cell r="D1246" t="str">
            <v>North</v>
          </cell>
          <cell r="H1246">
            <v>1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P1246">
            <v>49.5</v>
          </cell>
        </row>
        <row r="1247">
          <cell r="C1247" t="str">
            <v>Treatment</v>
          </cell>
          <cell r="D1247" t="str">
            <v>North</v>
          </cell>
          <cell r="H1247">
            <v>1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P1247">
            <v>41.5</v>
          </cell>
        </row>
        <row r="1248">
          <cell r="C1248" t="str">
            <v>Treatment</v>
          </cell>
          <cell r="D1248" t="str">
            <v>North</v>
          </cell>
          <cell r="H1248">
            <v>1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P1248">
            <v>71.2</v>
          </cell>
        </row>
        <row r="1249">
          <cell r="C1249" t="str">
            <v>Treatment</v>
          </cell>
          <cell r="D1249" t="str">
            <v>North</v>
          </cell>
          <cell r="H1249">
            <v>1</v>
          </cell>
          <cell r="I1249">
            <v>1</v>
          </cell>
          <cell r="J1249">
            <v>1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P1249">
            <v>65.8</v>
          </cell>
        </row>
        <row r="1250">
          <cell r="C1250" t="str">
            <v>Treatment</v>
          </cell>
          <cell r="D1250" t="str">
            <v>East</v>
          </cell>
          <cell r="H1250">
            <v>1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1</v>
          </cell>
          <cell r="N1250">
            <v>0</v>
          </cell>
          <cell r="P1250">
            <v>55.1</v>
          </cell>
        </row>
        <row r="1251">
          <cell r="C1251" t="str">
            <v>Treatment</v>
          </cell>
          <cell r="D1251" t="str">
            <v>West</v>
          </cell>
          <cell r="H1251">
            <v>1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P1251">
            <v>54.6</v>
          </cell>
        </row>
        <row r="1252">
          <cell r="C1252" t="str">
            <v>Treatment</v>
          </cell>
          <cell r="D1252" t="str">
            <v>East</v>
          </cell>
          <cell r="H1252">
            <v>1</v>
          </cell>
          <cell r="I1252">
            <v>1</v>
          </cell>
          <cell r="J1252">
            <v>1</v>
          </cell>
          <cell r="K1252">
            <v>1</v>
          </cell>
          <cell r="L1252">
            <v>923.67</v>
          </cell>
          <cell r="M1252">
            <v>0</v>
          </cell>
          <cell r="N1252">
            <v>0</v>
          </cell>
          <cell r="O1252">
            <v>4</v>
          </cell>
          <cell r="P1252">
            <v>81.900000000000006</v>
          </cell>
        </row>
        <row r="1253">
          <cell r="C1253" t="str">
            <v>Treatment</v>
          </cell>
          <cell r="D1253" t="str">
            <v>South</v>
          </cell>
          <cell r="H1253">
            <v>1</v>
          </cell>
          <cell r="I1253">
            <v>1</v>
          </cell>
          <cell r="J1253">
            <v>0</v>
          </cell>
          <cell r="K1253">
            <v>0</v>
          </cell>
          <cell r="L1253">
            <v>0</v>
          </cell>
          <cell r="M1253">
            <v>3</v>
          </cell>
          <cell r="N1253">
            <v>0</v>
          </cell>
          <cell r="P1253">
            <v>63.2</v>
          </cell>
        </row>
        <row r="1254">
          <cell r="C1254" t="str">
            <v>Treatment</v>
          </cell>
          <cell r="D1254" t="str">
            <v>North</v>
          </cell>
          <cell r="H1254">
            <v>1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P1254">
            <v>55.4</v>
          </cell>
        </row>
        <row r="1255">
          <cell r="C1255" t="str">
            <v>Treatment</v>
          </cell>
          <cell r="D1255" t="str">
            <v>West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P1255">
            <v>87.5</v>
          </cell>
        </row>
        <row r="1256">
          <cell r="C1256" t="str">
            <v>Treatment</v>
          </cell>
          <cell r="D1256" t="str">
            <v>South</v>
          </cell>
          <cell r="H1256">
            <v>1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P1256">
            <v>48.5</v>
          </cell>
        </row>
        <row r="1257">
          <cell r="C1257" t="str">
            <v>Treatment</v>
          </cell>
          <cell r="D1257" t="str">
            <v>East</v>
          </cell>
          <cell r="H1257">
            <v>1</v>
          </cell>
          <cell r="I1257">
            <v>1</v>
          </cell>
          <cell r="J1257">
            <v>1</v>
          </cell>
          <cell r="K1257">
            <v>1</v>
          </cell>
          <cell r="L1257">
            <v>420.27</v>
          </cell>
          <cell r="M1257">
            <v>0</v>
          </cell>
          <cell r="N1257">
            <v>0</v>
          </cell>
          <cell r="O1257">
            <v>6</v>
          </cell>
          <cell r="P1257">
            <v>58.4</v>
          </cell>
        </row>
        <row r="1258">
          <cell r="C1258" t="str">
            <v>Treatment</v>
          </cell>
          <cell r="D1258" t="str">
            <v>West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P1258">
            <v>59.5</v>
          </cell>
        </row>
        <row r="1259">
          <cell r="C1259" t="str">
            <v>Treatment</v>
          </cell>
          <cell r="D1259" t="str">
            <v>West</v>
          </cell>
          <cell r="H1259">
            <v>1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P1259">
            <v>93.2</v>
          </cell>
        </row>
        <row r="1260">
          <cell r="C1260" t="str">
            <v>Treatment</v>
          </cell>
          <cell r="D1260" t="str">
            <v>West</v>
          </cell>
          <cell r="H1260">
            <v>1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P1260">
            <v>59</v>
          </cell>
        </row>
        <row r="1261">
          <cell r="C1261" t="str">
            <v>Treatment</v>
          </cell>
          <cell r="D1261" t="str">
            <v>North</v>
          </cell>
          <cell r="H1261">
            <v>1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P1261">
            <v>37</v>
          </cell>
        </row>
        <row r="1262">
          <cell r="C1262" t="str">
            <v>Treatment</v>
          </cell>
          <cell r="D1262" t="str">
            <v>North</v>
          </cell>
          <cell r="H1262">
            <v>1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P1262">
            <v>47.5</v>
          </cell>
        </row>
        <row r="1263">
          <cell r="C1263" t="str">
            <v>Treatment</v>
          </cell>
          <cell r="D1263" t="str">
            <v>West</v>
          </cell>
          <cell r="H1263">
            <v>1</v>
          </cell>
          <cell r="I1263">
            <v>1</v>
          </cell>
          <cell r="J1263">
            <v>1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P1263">
            <v>78.7</v>
          </cell>
        </row>
        <row r="1264">
          <cell r="C1264" t="str">
            <v>Treatment</v>
          </cell>
          <cell r="D1264" t="str">
            <v>North</v>
          </cell>
          <cell r="H1264">
            <v>1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P1264">
            <v>49.6</v>
          </cell>
        </row>
        <row r="1265">
          <cell r="C1265" t="str">
            <v>Treatment</v>
          </cell>
          <cell r="D1265" t="str">
            <v>East</v>
          </cell>
          <cell r="H1265">
            <v>1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P1265">
            <v>58</v>
          </cell>
        </row>
        <row r="1266">
          <cell r="C1266" t="str">
            <v>Treatment</v>
          </cell>
          <cell r="D1266" t="str">
            <v>North</v>
          </cell>
          <cell r="H1266">
            <v>1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1</v>
          </cell>
          <cell r="N1266">
            <v>0</v>
          </cell>
          <cell r="P1266">
            <v>54.4</v>
          </cell>
        </row>
        <row r="1267">
          <cell r="C1267" t="str">
            <v>Treatment</v>
          </cell>
          <cell r="D1267" t="str">
            <v>East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P1267">
            <v>33.700000000000003</v>
          </cell>
        </row>
        <row r="1268">
          <cell r="C1268" t="str">
            <v>Treatment</v>
          </cell>
          <cell r="D1268" t="str">
            <v>West</v>
          </cell>
          <cell r="H1268">
            <v>1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P1268">
            <v>72.7</v>
          </cell>
        </row>
        <row r="1269">
          <cell r="C1269" t="str">
            <v>Treatment</v>
          </cell>
          <cell r="D1269" t="str">
            <v>East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P1269">
            <v>64.7</v>
          </cell>
        </row>
        <row r="1270">
          <cell r="C1270" t="str">
            <v>Treatment</v>
          </cell>
          <cell r="D1270" t="str">
            <v>West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1</v>
          </cell>
          <cell r="N1270">
            <v>0</v>
          </cell>
          <cell r="P1270">
            <v>48.6</v>
          </cell>
        </row>
        <row r="1271">
          <cell r="C1271" t="str">
            <v>Treatment</v>
          </cell>
          <cell r="D1271" t="str">
            <v>East</v>
          </cell>
          <cell r="H1271">
            <v>1</v>
          </cell>
          <cell r="I1271">
            <v>1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P1271">
            <v>66.2</v>
          </cell>
        </row>
        <row r="1272">
          <cell r="C1272" t="str">
            <v>Treatment</v>
          </cell>
          <cell r="D1272" t="str">
            <v>West</v>
          </cell>
          <cell r="H1272">
            <v>1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1</v>
          </cell>
          <cell r="N1272">
            <v>0</v>
          </cell>
          <cell r="P1272">
            <v>60.7</v>
          </cell>
        </row>
        <row r="1273">
          <cell r="C1273" t="str">
            <v>Treatment</v>
          </cell>
          <cell r="D1273" t="str">
            <v>West</v>
          </cell>
          <cell r="H1273">
            <v>1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P1273">
            <v>36.5</v>
          </cell>
        </row>
        <row r="1274">
          <cell r="C1274" t="str">
            <v>Treatment</v>
          </cell>
          <cell r="D1274" t="str">
            <v>West</v>
          </cell>
          <cell r="H1274">
            <v>1</v>
          </cell>
          <cell r="I1274">
            <v>1</v>
          </cell>
          <cell r="J1274">
            <v>1</v>
          </cell>
          <cell r="K1274">
            <v>0</v>
          </cell>
          <cell r="L1274">
            <v>0</v>
          </cell>
          <cell r="M1274">
            <v>3</v>
          </cell>
          <cell r="N1274">
            <v>0</v>
          </cell>
          <cell r="P1274">
            <v>69.7</v>
          </cell>
        </row>
        <row r="1275">
          <cell r="C1275" t="str">
            <v>Treatment</v>
          </cell>
          <cell r="D1275" t="str">
            <v>South</v>
          </cell>
          <cell r="H1275">
            <v>1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P1275">
            <v>81.8</v>
          </cell>
        </row>
        <row r="1276">
          <cell r="C1276" t="str">
            <v>Treatment</v>
          </cell>
          <cell r="D1276" t="str">
            <v>West</v>
          </cell>
          <cell r="H1276">
            <v>1</v>
          </cell>
          <cell r="I1276">
            <v>1</v>
          </cell>
          <cell r="J1276">
            <v>1</v>
          </cell>
          <cell r="K1276">
            <v>0</v>
          </cell>
          <cell r="L1276">
            <v>0</v>
          </cell>
          <cell r="M1276">
            <v>1</v>
          </cell>
          <cell r="N1276">
            <v>0</v>
          </cell>
          <cell r="P1276">
            <v>78.3</v>
          </cell>
        </row>
        <row r="1277">
          <cell r="C1277" t="str">
            <v>Treatment</v>
          </cell>
          <cell r="D1277" t="str">
            <v>East</v>
          </cell>
          <cell r="H1277">
            <v>1</v>
          </cell>
          <cell r="I1277">
            <v>1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P1277">
            <v>79.400000000000006</v>
          </cell>
        </row>
        <row r="1278">
          <cell r="C1278" t="str">
            <v>Treatment</v>
          </cell>
          <cell r="D1278" t="str">
            <v>North</v>
          </cell>
          <cell r="H1278">
            <v>1</v>
          </cell>
          <cell r="I1278">
            <v>1</v>
          </cell>
          <cell r="J1278">
            <v>1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P1278">
            <v>54.9</v>
          </cell>
        </row>
        <row r="1279">
          <cell r="C1279" t="str">
            <v>Treatment</v>
          </cell>
          <cell r="D1279" t="str">
            <v>West</v>
          </cell>
          <cell r="H1279">
            <v>1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P1279">
            <v>54.9</v>
          </cell>
        </row>
        <row r="1280">
          <cell r="C1280" t="str">
            <v>Treatment</v>
          </cell>
          <cell r="D1280" t="str">
            <v>East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P1280">
            <v>28.7</v>
          </cell>
        </row>
        <row r="1281">
          <cell r="C1281" t="str">
            <v>Treatment</v>
          </cell>
          <cell r="D1281" t="str">
            <v>North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P1281">
            <v>68.8</v>
          </cell>
        </row>
        <row r="1282">
          <cell r="C1282" t="str">
            <v>Treatment</v>
          </cell>
          <cell r="D1282" t="str">
            <v>East</v>
          </cell>
          <cell r="H1282">
            <v>1</v>
          </cell>
          <cell r="I1282">
            <v>1</v>
          </cell>
          <cell r="J1282">
            <v>1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P1282">
            <v>43.5</v>
          </cell>
        </row>
        <row r="1283">
          <cell r="C1283" t="str">
            <v>Treatment</v>
          </cell>
          <cell r="D1283" t="str">
            <v>West</v>
          </cell>
          <cell r="H1283">
            <v>1</v>
          </cell>
          <cell r="I1283">
            <v>1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P1283">
            <v>62.6</v>
          </cell>
        </row>
        <row r="1284">
          <cell r="C1284" t="str">
            <v>Treatment</v>
          </cell>
          <cell r="D1284" t="str">
            <v>West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1</v>
          </cell>
          <cell r="N1284">
            <v>0</v>
          </cell>
          <cell r="P1284">
            <v>54.1</v>
          </cell>
        </row>
        <row r="1285">
          <cell r="C1285" t="str">
            <v>Treatment</v>
          </cell>
          <cell r="D1285" t="str">
            <v>West</v>
          </cell>
          <cell r="H1285">
            <v>1</v>
          </cell>
          <cell r="I1285">
            <v>1</v>
          </cell>
          <cell r="J1285">
            <v>1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P1285">
            <v>80.099999999999994</v>
          </cell>
        </row>
        <row r="1286">
          <cell r="C1286" t="str">
            <v>Treatment</v>
          </cell>
          <cell r="D1286" t="str">
            <v>North</v>
          </cell>
          <cell r="H1286">
            <v>1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P1286">
            <v>69.5</v>
          </cell>
        </row>
        <row r="1287">
          <cell r="C1287" t="str">
            <v>Treatment</v>
          </cell>
          <cell r="D1287" t="str">
            <v>North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2</v>
          </cell>
          <cell r="N1287">
            <v>0</v>
          </cell>
          <cell r="P1287">
            <v>46.6</v>
          </cell>
        </row>
        <row r="1288">
          <cell r="C1288" t="str">
            <v>Treatment</v>
          </cell>
          <cell r="D1288" t="str">
            <v>South</v>
          </cell>
          <cell r="H1288">
            <v>1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1</v>
          </cell>
          <cell r="N1288">
            <v>0</v>
          </cell>
          <cell r="P1288">
            <v>54.9</v>
          </cell>
        </row>
        <row r="1289">
          <cell r="C1289" t="str">
            <v>Treatment</v>
          </cell>
          <cell r="D1289" t="str">
            <v>East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P1289">
            <v>100</v>
          </cell>
        </row>
        <row r="1290">
          <cell r="C1290" t="str">
            <v>Treatment</v>
          </cell>
          <cell r="D1290" t="str">
            <v>East</v>
          </cell>
          <cell r="H1290">
            <v>1</v>
          </cell>
          <cell r="I1290">
            <v>1</v>
          </cell>
          <cell r="J1290">
            <v>1</v>
          </cell>
          <cell r="K1290">
            <v>0</v>
          </cell>
          <cell r="L1290">
            <v>0</v>
          </cell>
          <cell r="M1290">
            <v>1</v>
          </cell>
          <cell r="N1290">
            <v>0</v>
          </cell>
          <cell r="P1290">
            <v>80.5</v>
          </cell>
        </row>
        <row r="1291">
          <cell r="C1291" t="str">
            <v>Treatment</v>
          </cell>
          <cell r="D1291" t="str">
            <v>West</v>
          </cell>
          <cell r="H1291">
            <v>1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P1291">
            <v>51.2</v>
          </cell>
        </row>
        <row r="1292">
          <cell r="C1292" t="str">
            <v>Treatment</v>
          </cell>
          <cell r="D1292" t="str">
            <v>South</v>
          </cell>
          <cell r="H1292">
            <v>1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P1292">
            <v>42.5</v>
          </cell>
        </row>
        <row r="1293">
          <cell r="C1293" t="str">
            <v>Treatment</v>
          </cell>
          <cell r="D1293" t="str">
            <v>North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P1293">
            <v>72.5</v>
          </cell>
        </row>
        <row r="1294">
          <cell r="C1294" t="str">
            <v>Treatment</v>
          </cell>
          <cell r="D1294" t="str">
            <v>West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P1294">
            <v>74.400000000000006</v>
          </cell>
        </row>
        <row r="1295">
          <cell r="C1295" t="str">
            <v>Treatment</v>
          </cell>
          <cell r="D1295" t="str">
            <v>East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P1295">
            <v>78.400000000000006</v>
          </cell>
        </row>
        <row r="1296">
          <cell r="C1296" t="str">
            <v>Treatment</v>
          </cell>
          <cell r="D1296" t="str">
            <v>North</v>
          </cell>
          <cell r="H1296">
            <v>1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P1296">
            <v>71.5</v>
          </cell>
        </row>
        <row r="1297">
          <cell r="C1297" t="str">
            <v>Treatment</v>
          </cell>
          <cell r="D1297" t="str">
            <v>South</v>
          </cell>
          <cell r="H1297">
            <v>1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P1297">
            <v>66.7</v>
          </cell>
        </row>
        <row r="1298">
          <cell r="C1298" t="str">
            <v>Treatment</v>
          </cell>
          <cell r="D1298" t="str">
            <v>South</v>
          </cell>
          <cell r="H1298">
            <v>1</v>
          </cell>
          <cell r="I1298">
            <v>1</v>
          </cell>
          <cell r="J1298">
            <v>1</v>
          </cell>
          <cell r="K1298">
            <v>1</v>
          </cell>
          <cell r="L1298">
            <v>1496.09</v>
          </cell>
          <cell r="M1298">
            <v>0</v>
          </cell>
          <cell r="N1298">
            <v>0</v>
          </cell>
          <cell r="O1298">
            <v>7</v>
          </cell>
          <cell r="P1298">
            <v>60.4</v>
          </cell>
        </row>
        <row r="1299">
          <cell r="C1299" t="str">
            <v>Treatment</v>
          </cell>
          <cell r="D1299" t="str">
            <v>North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1</v>
          </cell>
          <cell r="N1299">
            <v>0</v>
          </cell>
          <cell r="P1299">
            <v>72.900000000000006</v>
          </cell>
        </row>
        <row r="1300">
          <cell r="C1300" t="str">
            <v>Treatment</v>
          </cell>
          <cell r="D1300" t="str">
            <v>West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3</v>
          </cell>
          <cell r="N1300">
            <v>0</v>
          </cell>
        </row>
        <row r="1301">
          <cell r="C1301" t="str">
            <v>Treatment</v>
          </cell>
          <cell r="D1301" t="str">
            <v>South</v>
          </cell>
          <cell r="H1301">
            <v>1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P1301">
            <v>55.2</v>
          </cell>
        </row>
        <row r="1302">
          <cell r="C1302" t="str">
            <v>Treatment</v>
          </cell>
          <cell r="D1302" t="str">
            <v>West</v>
          </cell>
          <cell r="H1302">
            <v>1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P1302">
            <v>67.8</v>
          </cell>
        </row>
        <row r="1303">
          <cell r="C1303" t="str">
            <v>Treatment</v>
          </cell>
          <cell r="D1303" t="str">
            <v>North</v>
          </cell>
          <cell r="H1303">
            <v>1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2</v>
          </cell>
          <cell r="N1303">
            <v>0</v>
          </cell>
          <cell r="P1303">
            <v>70</v>
          </cell>
        </row>
        <row r="1304">
          <cell r="C1304" t="str">
            <v>Treatment</v>
          </cell>
          <cell r="D1304" t="str">
            <v>North</v>
          </cell>
          <cell r="H1304">
            <v>1</v>
          </cell>
          <cell r="I1304">
            <v>1</v>
          </cell>
          <cell r="J1304">
            <v>1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P1304">
            <v>51.1</v>
          </cell>
        </row>
        <row r="1305">
          <cell r="C1305" t="str">
            <v>Treatment</v>
          </cell>
          <cell r="D1305" t="str">
            <v>West</v>
          </cell>
          <cell r="H1305">
            <v>1</v>
          </cell>
          <cell r="I1305">
            <v>1</v>
          </cell>
          <cell r="J1305">
            <v>1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P1305">
            <v>57</v>
          </cell>
        </row>
        <row r="1306">
          <cell r="C1306" t="str">
            <v>Treatment</v>
          </cell>
          <cell r="D1306" t="str">
            <v>East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1</v>
          </cell>
          <cell r="N1306">
            <v>0</v>
          </cell>
          <cell r="P1306">
            <v>47.1</v>
          </cell>
        </row>
        <row r="1307">
          <cell r="C1307" t="str">
            <v>Treatment</v>
          </cell>
          <cell r="D1307" t="str">
            <v>East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P1307">
            <v>30.7</v>
          </cell>
        </row>
        <row r="1308">
          <cell r="C1308" t="str">
            <v>Treatment</v>
          </cell>
          <cell r="D1308" t="str">
            <v>West</v>
          </cell>
          <cell r="H1308">
            <v>1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P1308">
            <v>57.3</v>
          </cell>
        </row>
        <row r="1309">
          <cell r="C1309" t="str">
            <v>Treatment</v>
          </cell>
          <cell r="D1309" t="str">
            <v>West</v>
          </cell>
          <cell r="H1309">
            <v>1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P1309">
            <v>70</v>
          </cell>
        </row>
        <row r="1310">
          <cell r="C1310" t="str">
            <v>Treatment</v>
          </cell>
          <cell r="D1310" t="str">
            <v>East</v>
          </cell>
          <cell r="H1310">
            <v>1</v>
          </cell>
          <cell r="I1310">
            <v>1</v>
          </cell>
          <cell r="J1310">
            <v>1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P1310">
            <v>59.7</v>
          </cell>
        </row>
        <row r="1311">
          <cell r="C1311" t="str">
            <v>Treatment</v>
          </cell>
          <cell r="D1311" t="str">
            <v>East</v>
          </cell>
          <cell r="H1311">
            <v>1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P1311">
            <v>68.8</v>
          </cell>
        </row>
        <row r="1312">
          <cell r="C1312" t="str">
            <v>Treatment</v>
          </cell>
          <cell r="D1312" t="str">
            <v>North</v>
          </cell>
          <cell r="H1312">
            <v>1</v>
          </cell>
          <cell r="I1312">
            <v>1</v>
          </cell>
          <cell r="J1312">
            <v>1</v>
          </cell>
          <cell r="K1312">
            <v>1</v>
          </cell>
          <cell r="L1312">
            <v>428.37</v>
          </cell>
          <cell r="M1312">
            <v>0</v>
          </cell>
          <cell r="N1312">
            <v>0</v>
          </cell>
          <cell r="O1312">
            <v>9</v>
          </cell>
          <cell r="P1312">
            <v>88.3</v>
          </cell>
        </row>
        <row r="1313">
          <cell r="C1313" t="str">
            <v>Treatment</v>
          </cell>
          <cell r="D1313" t="str">
            <v>West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P1313">
            <v>83.4</v>
          </cell>
        </row>
        <row r="1314">
          <cell r="C1314" t="str">
            <v>Treatment</v>
          </cell>
          <cell r="D1314" t="str">
            <v>South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1</v>
          </cell>
          <cell r="N1314">
            <v>0</v>
          </cell>
          <cell r="P1314">
            <v>81.599999999999994</v>
          </cell>
        </row>
        <row r="1315">
          <cell r="C1315" t="str">
            <v>Treatment</v>
          </cell>
          <cell r="D1315" t="str">
            <v>East</v>
          </cell>
          <cell r="H1315">
            <v>1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P1315">
            <v>91.6</v>
          </cell>
        </row>
        <row r="1316">
          <cell r="C1316" t="str">
            <v>Treatment</v>
          </cell>
          <cell r="D1316" t="str">
            <v>East</v>
          </cell>
          <cell r="H1316">
            <v>1</v>
          </cell>
          <cell r="I1316">
            <v>1</v>
          </cell>
          <cell r="J1316">
            <v>1</v>
          </cell>
          <cell r="K1316">
            <v>0</v>
          </cell>
          <cell r="L1316">
            <v>0</v>
          </cell>
          <cell r="M1316">
            <v>1</v>
          </cell>
          <cell r="N1316">
            <v>0</v>
          </cell>
          <cell r="P1316">
            <v>61.5</v>
          </cell>
        </row>
        <row r="1317">
          <cell r="C1317" t="str">
            <v>Treatment</v>
          </cell>
          <cell r="D1317" t="str">
            <v>North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</row>
        <row r="1318">
          <cell r="C1318" t="str">
            <v>Treatment</v>
          </cell>
          <cell r="D1318" t="str">
            <v>South</v>
          </cell>
          <cell r="H1318">
            <v>1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P1318">
            <v>32.6</v>
          </cell>
        </row>
        <row r="1319">
          <cell r="C1319" t="str">
            <v>Treatment</v>
          </cell>
          <cell r="D1319" t="str">
            <v>South</v>
          </cell>
          <cell r="H1319">
            <v>1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P1319">
            <v>73.900000000000006</v>
          </cell>
        </row>
        <row r="1320">
          <cell r="C1320" t="str">
            <v>Treatment</v>
          </cell>
          <cell r="D1320" t="str">
            <v>East</v>
          </cell>
          <cell r="H1320">
            <v>1</v>
          </cell>
          <cell r="I1320">
            <v>1</v>
          </cell>
          <cell r="J1320">
            <v>1</v>
          </cell>
          <cell r="K1320">
            <v>1</v>
          </cell>
          <cell r="L1320">
            <v>444.06</v>
          </cell>
          <cell r="M1320">
            <v>0</v>
          </cell>
          <cell r="N1320">
            <v>0</v>
          </cell>
          <cell r="O1320">
            <v>9</v>
          </cell>
          <cell r="P1320">
            <v>99.9</v>
          </cell>
        </row>
        <row r="1321">
          <cell r="C1321" t="str">
            <v>Treatment</v>
          </cell>
          <cell r="D1321" t="str">
            <v>South</v>
          </cell>
          <cell r="H1321">
            <v>1</v>
          </cell>
          <cell r="I1321">
            <v>1</v>
          </cell>
          <cell r="J1321">
            <v>0</v>
          </cell>
          <cell r="K1321">
            <v>0</v>
          </cell>
          <cell r="L1321">
            <v>0</v>
          </cell>
          <cell r="M1321">
            <v>1</v>
          </cell>
          <cell r="N1321">
            <v>0</v>
          </cell>
          <cell r="P1321">
            <v>62.4</v>
          </cell>
        </row>
        <row r="1322">
          <cell r="C1322" t="str">
            <v>Treatment</v>
          </cell>
          <cell r="D1322" t="str">
            <v>South</v>
          </cell>
          <cell r="H1322">
            <v>1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P1322">
            <v>46.1</v>
          </cell>
        </row>
        <row r="1323">
          <cell r="C1323" t="str">
            <v>Treatment</v>
          </cell>
          <cell r="D1323" t="str">
            <v>West</v>
          </cell>
          <cell r="H1323">
            <v>1</v>
          </cell>
          <cell r="I1323">
            <v>1</v>
          </cell>
          <cell r="J1323">
            <v>1</v>
          </cell>
          <cell r="K1323">
            <v>1</v>
          </cell>
          <cell r="L1323">
            <v>2660.21</v>
          </cell>
          <cell r="M1323">
            <v>0</v>
          </cell>
          <cell r="N1323">
            <v>0</v>
          </cell>
          <cell r="O1323">
            <v>3</v>
          </cell>
          <cell r="P1323">
            <v>73.900000000000006</v>
          </cell>
        </row>
        <row r="1324">
          <cell r="C1324" t="str">
            <v>Treatment</v>
          </cell>
          <cell r="D1324" t="str">
            <v>North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P1324">
            <v>90</v>
          </cell>
        </row>
        <row r="1325">
          <cell r="C1325" t="str">
            <v>Treatment</v>
          </cell>
          <cell r="D1325" t="str">
            <v>South</v>
          </cell>
          <cell r="H1325">
            <v>1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1</v>
          </cell>
          <cell r="N1325">
            <v>0</v>
          </cell>
          <cell r="P1325">
            <v>68.8</v>
          </cell>
        </row>
        <row r="1326">
          <cell r="C1326" t="str">
            <v>Treatment</v>
          </cell>
          <cell r="D1326" t="str">
            <v>West</v>
          </cell>
          <cell r="H1326">
            <v>1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P1326">
            <v>66.599999999999994</v>
          </cell>
        </row>
        <row r="1327">
          <cell r="C1327" t="str">
            <v>Treatment</v>
          </cell>
          <cell r="D1327" t="str">
            <v>North</v>
          </cell>
          <cell r="H1327">
            <v>1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P1327">
            <v>49.7</v>
          </cell>
        </row>
        <row r="1328">
          <cell r="C1328" t="str">
            <v>Treatment</v>
          </cell>
          <cell r="D1328" t="str">
            <v>South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P1328">
            <v>67.900000000000006</v>
          </cell>
        </row>
        <row r="1329">
          <cell r="C1329" t="str">
            <v>Treatment</v>
          </cell>
          <cell r="D1329" t="str">
            <v>West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P1329">
            <v>66.900000000000006</v>
          </cell>
        </row>
        <row r="1330">
          <cell r="C1330" t="str">
            <v>Treatment</v>
          </cell>
          <cell r="D1330" t="str">
            <v>East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P1330">
            <v>46.1</v>
          </cell>
        </row>
        <row r="1331">
          <cell r="C1331" t="str">
            <v>Treatment</v>
          </cell>
          <cell r="D1331" t="str">
            <v>West</v>
          </cell>
          <cell r="H1331">
            <v>1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P1331">
            <v>85.6</v>
          </cell>
        </row>
        <row r="1332">
          <cell r="C1332" t="str">
            <v>Treatment</v>
          </cell>
          <cell r="D1332" t="str">
            <v>South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P1332">
            <v>39.6</v>
          </cell>
        </row>
        <row r="1333">
          <cell r="C1333" t="str">
            <v>Treatment</v>
          </cell>
          <cell r="D1333" t="str">
            <v>South</v>
          </cell>
          <cell r="H1333">
            <v>1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P1333">
            <v>52.5</v>
          </cell>
        </row>
        <row r="1334">
          <cell r="C1334" t="str">
            <v>Treatment</v>
          </cell>
          <cell r="D1334" t="str">
            <v>East</v>
          </cell>
          <cell r="H1334">
            <v>1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P1334">
            <v>73.5</v>
          </cell>
        </row>
        <row r="1335">
          <cell r="C1335" t="str">
            <v>Treatment</v>
          </cell>
          <cell r="D1335" t="str">
            <v>West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P1335">
            <v>62.5</v>
          </cell>
        </row>
        <row r="1336">
          <cell r="C1336" t="str">
            <v>Treatment</v>
          </cell>
          <cell r="D1336" t="str">
            <v>South</v>
          </cell>
          <cell r="H1336">
            <v>1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P1336">
            <v>76.900000000000006</v>
          </cell>
        </row>
        <row r="1337">
          <cell r="C1337" t="str">
            <v>Treatment</v>
          </cell>
          <cell r="D1337" t="str">
            <v>South</v>
          </cell>
          <cell r="H1337">
            <v>1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P1337">
            <v>51.4</v>
          </cell>
        </row>
        <row r="1338">
          <cell r="C1338" t="str">
            <v>Treatment</v>
          </cell>
          <cell r="D1338" t="str">
            <v>West</v>
          </cell>
          <cell r="H1338">
            <v>1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P1338">
            <v>59.3</v>
          </cell>
        </row>
        <row r="1339">
          <cell r="C1339" t="str">
            <v>Treatment</v>
          </cell>
          <cell r="D1339" t="str">
            <v>North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P1339">
            <v>74.900000000000006</v>
          </cell>
        </row>
        <row r="1340">
          <cell r="C1340" t="str">
            <v>Treatment</v>
          </cell>
          <cell r="D1340" t="str">
            <v>West</v>
          </cell>
          <cell r="H1340">
            <v>1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P1340">
            <v>67</v>
          </cell>
        </row>
        <row r="1341">
          <cell r="C1341" t="str">
            <v>Treatment</v>
          </cell>
          <cell r="D1341" t="str">
            <v>South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P1341">
            <v>63.6</v>
          </cell>
        </row>
        <row r="1342">
          <cell r="C1342" t="str">
            <v>Treatment</v>
          </cell>
          <cell r="D1342" t="str">
            <v>South</v>
          </cell>
          <cell r="H1342">
            <v>1</v>
          </cell>
          <cell r="I1342">
            <v>1</v>
          </cell>
          <cell r="J1342">
            <v>0</v>
          </cell>
          <cell r="K1342">
            <v>0</v>
          </cell>
          <cell r="L1342">
            <v>0</v>
          </cell>
          <cell r="M1342">
            <v>1</v>
          </cell>
          <cell r="N1342">
            <v>0</v>
          </cell>
          <cell r="P1342">
            <v>58.4</v>
          </cell>
        </row>
        <row r="1343">
          <cell r="C1343" t="str">
            <v>Treatment</v>
          </cell>
          <cell r="D1343" t="str">
            <v>North</v>
          </cell>
          <cell r="H1343">
            <v>1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P1343">
            <v>36.799999999999997</v>
          </cell>
        </row>
        <row r="1344">
          <cell r="C1344" t="str">
            <v>Treatment</v>
          </cell>
          <cell r="D1344" t="str">
            <v>South</v>
          </cell>
          <cell r="H1344">
            <v>1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P1344">
            <v>71.599999999999994</v>
          </cell>
        </row>
        <row r="1345">
          <cell r="C1345" t="str">
            <v>Treatment</v>
          </cell>
          <cell r="D1345" t="str">
            <v>South</v>
          </cell>
          <cell r="H1345">
            <v>1</v>
          </cell>
          <cell r="I1345">
            <v>1</v>
          </cell>
          <cell r="J1345">
            <v>0</v>
          </cell>
          <cell r="K1345">
            <v>0</v>
          </cell>
          <cell r="L1345">
            <v>0</v>
          </cell>
          <cell r="M1345">
            <v>1</v>
          </cell>
          <cell r="N1345">
            <v>0</v>
          </cell>
          <cell r="P1345">
            <v>79.7</v>
          </cell>
        </row>
        <row r="1346">
          <cell r="C1346" t="str">
            <v>Treatment</v>
          </cell>
          <cell r="D1346" t="str">
            <v>West</v>
          </cell>
          <cell r="H1346">
            <v>1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1</v>
          </cell>
          <cell r="N1346">
            <v>0</v>
          </cell>
          <cell r="P1346">
            <v>56.5</v>
          </cell>
        </row>
        <row r="1347">
          <cell r="C1347" t="str">
            <v>Treatment</v>
          </cell>
          <cell r="D1347" t="str">
            <v>North</v>
          </cell>
          <cell r="H1347">
            <v>1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P1347">
            <v>44.7</v>
          </cell>
        </row>
        <row r="1348">
          <cell r="C1348" t="str">
            <v>Treatment</v>
          </cell>
          <cell r="D1348" t="str">
            <v>South</v>
          </cell>
          <cell r="H1348">
            <v>1</v>
          </cell>
          <cell r="I1348">
            <v>1</v>
          </cell>
          <cell r="J1348">
            <v>1</v>
          </cell>
          <cell r="K1348">
            <v>0</v>
          </cell>
          <cell r="L1348">
            <v>0</v>
          </cell>
          <cell r="M1348">
            <v>1</v>
          </cell>
          <cell r="N1348">
            <v>0</v>
          </cell>
          <cell r="P1348">
            <v>66</v>
          </cell>
        </row>
        <row r="1349">
          <cell r="C1349" t="str">
            <v>Treatment</v>
          </cell>
          <cell r="D1349" t="str">
            <v>North</v>
          </cell>
          <cell r="H1349">
            <v>1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P1349">
            <v>73</v>
          </cell>
        </row>
        <row r="1350">
          <cell r="C1350" t="str">
            <v>Treatment</v>
          </cell>
          <cell r="D1350" t="str">
            <v>South</v>
          </cell>
          <cell r="H1350">
            <v>1</v>
          </cell>
          <cell r="I1350">
            <v>1</v>
          </cell>
          <cell r="J1350">
            <v>1</v>
          </cell>
          <cell r="K1350">
            <v>0</v>
          </cell>
          <cell r="L1350">
            <v>0</v>
          </cell>
          <cell r="M1350">
            <v>1</v>
          </cell>
          <cell r="N1350">
            <v>0</v>
          </cell>
          <cell r="P1350">
            <v>72.5</v>
          </cell>
        </row>
        <row r="1351">
          <cell r="C1351" t="str">
            <v>Treatment</v>
          </cell>
          <cell r="D1351" t="str">
            <v>South</v>
          </cell>
          <cell r="H1351">
            <v>1</v>
          </cell>
          <cell r="I1351">
            <v>1</v>
          </cell>
          <cell r="J1351">
            <v>1</v>
          </cell>
          <cell r="K1351">
            <v>1</v>
          </cell>
          <cell r="L1351">
            <v>323.60000000000002</v>
          </cell>
          <cell r="M1351">
            <v>0</v>
          </cell>
          <cell r="N1351">
            <v>0</v>
          </cell>
          <cell r="O1351">
            <v>6</v>
          </cell>
          <cell r="P1351">
            <v>100</v>
          </cell>
        </row>
        <row r="1352">
          <cell r="C1352" t="str">
            <v>Treatment</v>
          </cell>
          <cell r="D1352" t="str">
            <v>East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1</v>
          </cell>
          <cell r="N1352">
            <v>0</v>
          </cell>
          <cell r="P1352">
            <v>90.5</v>
          </cell>
        </row>
        <row r="1353">
          <cell r="C1353" t="str">
            <v>Treatment</v>
          </cell>
          <cell r="D1353" t="str">
            <v>North</v>
          </cell>
          <cell r="H1353">
            <v>1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P1353">
            <v>70.2</v>
          </cell>
        </row>
        <row r="1354">
          <cell r="C1354" t="str">
            <v>Treatment</v>
          </cell>
          <cell r="D1354" t="str">
            <v>East</v>
          </cell>
          <cell r="H1354">
            <v>1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1</v>
          </cell>
          <cell r="N1354">
            <v>0</v>
          </cell>
          <cell r="P1354">
            <v>67.099999999999994</v>
          </cell>
        </row>
        <row r="1355">
          <cell r="C1355" t="str">
            <v>Treatment</v>
          </cell>
          <cell r="D1355" t="str">
            <v>East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P1355">
            <v>54.5</v>
          </cell>
        </row>
        <row r="1356">
          <cell r="C1356" t="str">
            <v>Treatment</v>
          </cell>
          <cell r="D1356" t="str">
            <v>West</v>
          </cell>
          <cell r="H1356">
            <v>1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P1356">
            <v>63.4</v>
          </cell>
        </row>
        <row r="1357">
          <cell r="C1357" t="str">
            <v>Treatment</v>
          </cell>
          <cell r="D1357" t="str">
            <v>North</v>
          </cell>
          <cell r="H1357">
            <v>1</v>
          </cell>
          <cell r="I1357">
            <v>1</v>
          </cell>
          <cell r="J1357">
            <v>1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P1357">
            <v>84.3</v>
          </cell>
        </row>
        <row r="1358">
          <cell r="C1358" t="str">
            <v>Treatment</v>
          </cell>
          <cell r="D1358" t="str">
            <v>West</v>
          </cell>
          <cell r="H1358">
            <v>1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1</v>
          </cell>
          <cell r="N1358">
            <v>0</v>
          </cell>
          <cell r="P1358">
            <v>55</v>
          </cell>
        </row>
        <row r="1359">
          <cell r="C1359" t="str">
            <v>Treatment</v>
          </cell>
          <cell r="D1359" t="str">
            <v>West</v>
          </cell>
          <cell r="H1359">
            <v>1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P1359">
            <v>63.6</v>
          </cell>
        </row>
        <row r="1360">
          <cell r="C1360" t="str">
            <v>Treatment</v>
          </cell>
          <cell r="D1360" t="str">
            <v>West</v>
          </cell>
          <cell r="H1360">
            <v>1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P1360">
            <v>55.5</v>
          </cell>
        </row>
        <row r="1361">
          <cell r="C1361" t="str">
            <v>Treatment</v>
          </cell>
          <cell r="D1361" t="str">
            <v>South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P1361">
            <v>50.5</v>
          </cell>
        </row>
        <row r="1362">
          <cell r="C1362" t="str">
            <v>Treatment</v>
          </cell>
          <cell r="D1362" t="str">
            <v>North</v>
          </cell>
          <cell r="H1362">
            <v>1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P1362">
            <v>45.3</v>
          </cell>
        </row>
        <row r="1363">
          <cell r="C1363" t="str">
            <v>Treatment</v>
          </cell>
          <cell r="D1363" t="str">
            <v>East</v>
          </cell>
          <cell r="H1363">
            <v>1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P1363">
            <v>33.6</v>
          </cell>
        </row>
        <row r="1364">
          <cell r="C1364" t="str">
            <v>Treatment</v>
          </cell>
          <cell r="D1364" t="str">
            <v>South</v>
          </cell>
          <cell r="H1364">
            <v>1</v>
          </cell>
          <cell r="I1364">
            <v>1</v>
          </cell>
          <cell r="J1364">
            <v>1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P1364">
            <v>88.2</v>
          </cell>
        </row>
        <row r="1365">
          <cell r="C1365" t="str">
            <v>Treatment</v>
          </cell>
          <cell r="D1365" t="str">
            <v>North</v>
          </cell>
          <cell r="H1365">
            <v>1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P1365">
            <v>51.8</v>
          </cell>
        </row>
        <row r="1366">
          <cell r="C1366" t="str">
            <v>Treatment</v>
          </cell>
          <cell r="D1366" t="str">
            <v>North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P1366">
            <v>87.9</v>
          </cell>
        </row>
        <row r="1367">
          <cell r="C1367" t="str">
            <v>Treatment</v>
          </cell>
          <cell r="D1367" t="str">
            <v>South</v>
          </cell>
          <cell r="H1367">
            <v>1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2</v>
          </cell>
          <cell r="N1367">
            <v>0</v>
          </cell>
          <cell r="P1367">
            <v>70.5</v>
          </cell>
        </row>
        <row r="1368">
          <cell r="C1368" t="str">
            <v>Treatment</v>
          </cell>
          <cell r="D1368" t="str">
            <v>North</v>
          </cell>
          <cell r="H1368">
            <v>1</v>
          </cell>
          <cell r="I1368">
            <v>1</v>
          </cell>
          <cell r="J1368">
            <v>0</v>
          </cell>
          <cell r="K1368">
            <v>0</v>
          </cell>
          <cell r="L1368">
            <v>0</v>
          </cell>
          <cell r="M1368">
            <v>2</v>
          </cell>
          <cell r="N1368">
            <v>0</v>
          </cell>
          <cell r="P1368">
            <v>58.5</v>
          </cell>
        </row>
        <row r="1369">
          <cell r="C1369" t="str">
            <v>Treatment</v>
          </cell>
          <cell r="D1369" t="str">
            <v>East</v>
          </cell>
          <cell r="H1369">
            <v>1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P1369">
            <v>65.599999999999994</v>
          </cell>
        </row>
        <row r="1370">
          <cell r="C1370" t="str">
            <v>Treatment</v>
          </cell>
          <cell r="D1370" t="str">
            <v>West</v>
          </cell>
          <cell r="H1370">
            <v>1</v>
          </cell>
          <cell r="I1370">
            <v>1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P1370">
            <v>62.7</v>
          </cell>
        </row>
        <row r="1371">
          <cell r="C1371" t="str">
            <v>Treatment</v>
          </cell>
          <cell r="D1371" t="str">
            <v>East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1</v>
          </cell>
          <cell r="N1371">
            <v>0</v>
          </cell>
          <cell r="P1371">
            <v>50.9</v>
          </cell>
        </row>
        <row r="1372">
          <cell r="C1372" t="str">
            <v>Treatment</v>
          </cell>
          <cell r="D1372" t="str">
            <v>North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1</v>
          </cell>
          <cell r="N1372">
            <v>0</v>
          </cell>
          <cell r="P1372">
            <v>60.6</v>
          </cell>
        </row>
        <row r="1373">
          <cell r="C1373" t="str">
            <v>Treatment</v>
          </cell>
          <cell r="D1373" t="str">
            <v>East</v>
          </cell>
          <cell r="H1373">
            <v>1</v>
          </cell>
          <cell r="I1373">
            <v>1</v>
          </cell>
          <cell r="J1373">
            <v>1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P1373">
            <v>76.599999999999994</v>
          </cell>
        </row>
        <row r="1374">
          <cell r="C1374" t="str">
            <v>Treatment</v>
          </cell>
          <cell r="D1374" t="str">
            <v>East</v>
          </cell>
          <cell r="H1374">
            <v>1</v>
          </cell>
          <cell r="I1374">
            <v>1</v>
          </cell>
          <cell r="J1374">
            <v>1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P1374">
            <v>54.4</v>
          </cell>
        </row>
        <row r="1375">
          <cell r="C1375" t="str">
            <v>Treatment</v>
          </cell>
          <cell r="D1375" t="str">
            <v>South</v>
          </cell>
          <cell r="H1375">
            <v>1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P1375">
            <v>31.2</v>
          </cell>
        </row>
        <row r="1376">
          <cell r="C1376" t="str">
            <v>Treatment</v>
          </cell>
          <cell r="D1376" t="str">
            <v>West</v>
          </cell>
          <cell r="H1376">
            <v>1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P1376">
            <v>72.400000000000006</v>
          </cell>
        </row>
        <row r="1377">
          <cell r="C1377" t="str">
            <v>Treatment</v>
          </cell>
          <cell r="D1377" t="str">
            <v>North</v>
          </cell>
          <cell r="H1377">
            <v>1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P1377">
            <v>74.5</v>
          </cell>
        </row>
        <row r="1378">
          <cell r="C1378" t="str">
            <v>Treatment</v>
          </cell>
          <cell r="D1378" t="str">
            <v>East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P1378">
            <v>52.6</v>
          </cell>
        </row>
        <row r="1379">
          <cell r="C1379" t="str">
            <v>Treatment</v>
          </cell>
          <cell r="D1379" t="str">
            <v>North</v>
          </cell>
          <cell r="H1379">
            <v>1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P1379">
            <v>75.400000000000006</v>
          </cell>
        </row>
        <row r="1380">
          <cell r="C1380" t="str">
            <v>Treatment</v>
          </cell>
          <cell r="D1380" t="str">
            <v>North</v>
          </cell>
          <cell r="H1380">
            <v>1</v>
          </cell>
          <cell r="I1380">
            <v>1</v>
          </cell>
          <cell r="J1380">
            <v>1</v>
          </cell>
          <cell r="K1380">
            <v>1</v>
          </cell>
          <cell r="L1380">
            <v>751.33</v>
          </cell>
          <cell r="M1380">
            <v>0</v>
          </cell>
          <cell r="N1380">
            <v>0</v>
          </cell>
          <cell r="O1380">
            <v>9</v>
          </cell>
          <cell r="P1380">
            <v>34</v>
          </cell>
        </row>
        <row r="1381">
          <cell r="C1381" t="str">
            <v>Treatment</v>
          </cell>
          <cell r="D1381" t="str">
            <v>South</v>
          </cell>
          <cell r="H1381">
            <v>1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P1381">
            <v>67.099999999999994</v>
          </cell>
        </row>
        <row r="1382">
          <cell r="C1382" t="str">
            <v>Treatment</v>
          </cell>
          <cell r="D1382" t="str">
            <v>West</v>
          </cell>
          <cell r="H1382">
            <v>1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P1382">
            <v>37.299999999999997</v>
          </cell>
        </row>
        <row r="1383">
          <cell r="C1383" t="str">
            <v>Treatment</v>
          </cell>
          <cell r="D1383" t="str">
            <v>West</v>
          </cell>
          <cell r="H1383">
            <v>1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P1383">
            <v>54.7</v>
          </cell>
        </row>
        <row r="1384">
          <cell r="C1384" t="str">
            <v>Treatment</v>
          </cell>
          <cell r="D1384" t="str">
            <v>East</v>
          </cell>
          <cell r="H1384">
            <v>1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P1384">
            <v>51.8</v>
          </cell>
        </row>
        <row r="1385">
          <cell r="C1385" t="str">
            <v>Treatment</v>
          </cell>
          <cell r="D1385" t="str">
            <v>West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P1385">
            <v>49.2</v>
          </cell>
        </row>
        <row r="1386">
          <cell r="C1386" t="str">
            <v>Treatment</v>
          </cell>
          <cell r="D1386" t="str">
            <v>West</v>
          </cell>
          <cell r="H1386">
            <v>1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2</v>
          </cell>
          <cell r="N1386">
            <v>0</v>
          </cell>
          <cell r="P1386">
            <v>58.8</v>
          </cell>
        </row>
        <row r="1387">
          <cell r="C1387" t="str">
            <v>Treatment</v>
          </cell>
          <cell r="D1387" t="str">
            <v>North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1</v>
          </cell>
          <cell r="N1387">
            <v>0</v>
          </cell>
          <cell r="P1387">
            <v>59.1</v>
          </cell>
        </row>
        <row r="1388">
          <cell r="C1388" t="str">
            <v>Treatment</v>
          </cell>
          <cell r="D1388" t="str">
            <v>West</v>
          </cell>
          <cell r="H1388">
            <v>1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2</v>
          </cell>
          <cell r="N1388">
            <v>0</v>
          </cell>
          <cell r="P1388">
            <v>49.6</v>
          </cell>
        </row>
        <row r="1389">
          <cell r="C1389" t="str">
            <v>Treatment</v>
          </cell>
          <cell r="D1389" t="str">
            <v>North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P1389">
            <v>58.2</v>
          </cell>
        </row>
        <row r="1390">
          <cell r="C1390" t="str">
            <v>Treatment</v>
          </cell>
          <cell r="D1390" t="str">
            <v>South</v>
          </cell>
          <cell r="H1390">
            <v>1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P1390">
            <v>66.8</v>
          </cell>
        </row>
        <row r="1391">
          <cell r="C1391" t="str">
            <v>Treatment</v>
          </cell>
          <cell r="D1391" t="str">
            <v>North</v>
          </cell>
          <cell r="H1391">
            <v>1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3</v>
          </cell>
          <cell r="N1391">
            <v>0</v>
          </cell>
          <cell r="P1391">
            <v>58.3</v>
          </cell>
        </row>
        <row r="1392">
          <cell r="C1392" t="str">
            <v>Treatment</v>
          </cell>
          <cell r="D1392" t="str">
            <v>West</v>
          </cell>
          <cell r="H1392">
            <v>1</v>
          </cell>
          <cell r="I1392">
            <v>1</v>
          </cell>
          <cell r="J1392">
            <v>1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P1392">
            <v>38.5</v>
          </cell>
        </row>
        <row r="1393">
          <cell r="C1393" t="str">
            <v>Treatment</v>
          </cell>
          <cell r="D1393" t="str">
            <v>East</v>
          </cell>
          <cell r="H1393">
            <v>1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P1393">
            <v>76.900000000000006</v>
          </cell>
        </row>
        <row r="1394">
          <cell r="C1394" t="str">
            <v>Treatment</v>
          </cell>
          <cell r="D1394" t="str">
            <v>East</v>
          </cell>
          <cell r="H1394">
            <v>1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P1394">
            <v>54</v>
          </cell>
        </row>
        <row r="1395">
          <cell r="C1395" t="str">
            <v>Treatment</v>
          </cell>
          <cell r="D1395" t="str">
            <v>East</v>
          </cell>
          <cell r="H1395">
            <v>1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P1395">
            <v>70.599999999999994</v>
          </cell>
        </row>
        <row r="1396">
          <cell r="C1396" t="str">
            <v>Treatment</v>
          </cell>
          <cell r="D1396" t="str">
            <v>North</v>
          </cell>
          <cell r="H1396">
            <v>1</v>
          </cell>
          <cell r="I1396">
            <v>1</v>
          </cell>
          <cell r="J1396">
            <v>1</v>
          </cell>
          <cell r="K1396">
            <v>0</v>
          </cell>
          <cell r="L1396">
            <v>0</v>
          </cell>
          <cell r="M1396">
            <v>1</v>
          </cell>
          <cell r="N1396">
            <v>0</v>
          </cell>
          <cell r="P1396">
            <v>69.400000000000006</v>
          </cell>
        </row>
        <row r="1397">
          <cell r="C1397" t="str">
            <v>Treatment</v>
          </cell>
          <cell r="D1397" t="str">
            <v>South</v>
          </cell>
          <cell r="H1397">
            <v>1</v>
          </cell>
          <cell r="I1397">
            <v>1</v>
          </cell>
          <cell r="J1397">
            <v>1</v>
          </cell>
          <cell r="K1397">
            <v>1</v>
          </cell>
          <cell r="L1397">
            <v>1009.9</v>
          </cell>
          <cell r="M1397">
            <v>0</v>
          </cell>
          <cell r="N1397">
            <v>0</v>
          </cell>
          <cell r="O1397">
            <v>6</v>
          </cell>
          <cell r="P1397">
            <v>89.7</v>
          </cell>
        </row>
        <row r="1398">
          <cell r="C1398" t="str">
            <v>Treatment</v>
          </cell>
          <cell r="D1398" t="str">
            <v>West</v>
          </cell>
          <cell r="H1398">
            <v>1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P1398">
            <v>62.4</v>
          </cell>
        </row>
        <row r="1399">
          <cell r="C1399" t="str">
            <v>Treatment</v>
          </cell>
          <cell r="D1399" t="str">
            <v>West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P1399">
            <v>67.3</v>
          </cell>
        </row>
        <row r="1400">
          <cell r="C1400" t="str">
            <v>Treatment</v>
          </cell>
          <cell r="D1400" t="str">
            <v>East</v>
          </cell>
          <cell r="H1400">
            <v>1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P1400">
            <v>54.9</v>
          </cell>
        </row>
        <row r="1401">
          <cell r="C1401" t="str">
            <v>Treatment</v>
          </cell>
          <cell r="D1401" t="str">
            <v>East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P1401">
            <v>55.7</v>
          </cell>
        </row>
        <row r="1402">
          <cell r="C1402" t="str">
            <v>Treatment</v>
          </cell>
          <cell r="D1402" t="str">
            <v>West</v>
          </cell>
          <cell r="H1402">
            <v>1</v>
          </cell>
          <cell r="I1402">
            <v>1</v>
          </cell>
          <cell r="J1402">
            <v>1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P1402">
            <v>70.599999999999994</v>
          </cell>
        </row>
        <row r="1403">
          <cell r="C1403" t="str">
            <v>Control</v>
          </cell>
          <cell r="D1403" t="str">
            <v>North</v>
          </cell>
          <cell r="H1403">
            <v>1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P1403">
            <v>60.9</v>
          </cell>
        </row>
        <row r="1404">
          <cell r="C1404" t="str">
            <v>Treatment</v>
          </cell>
          <cell r="D1404" t="str">
            <v>East</v>
          </cell>
          <cell r="H1404">
            <v>1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P1404">
            <v>33.6</v>
          </cell>
        </row>
        <row r="1405">
          <cell r="C1405" t="str">
            <v>Control</v>
          </cell>
          <cell r="D1405" t="str">
            <v>East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P1405">
            <v>68</v>
          </cell>
        </row>
        <row r="1406">
          <cell r="C1406" t="str">
            <v>Treatment</v>
          </cell>
          <cell r="D1406" t="str">
            <v>West</v>
          </cell>
          <cell r="H1406">
            <v>1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P1406">
            <v>62</v>
          </cell>
        </row>
        <row r="1407">
          <cell r="C1407" t="str">
            <v>Treatment</v>
          </cell>
          <cell r="D1407" t="str">
            <v>East</v>
          </cell>
          <cell r="H1407">
            <v>1</v>
          </cell>
          <cell r="I1407">
            <v>1</v>
          </cell>
          <cell r="J1407">
            <v>1</v>
          </cell>
          <cell r="K1407">
            <v>0</v>
          </cell>
          <cell r="L1407">
            <v>0</v>
          </cell>
          <cell r="M1407">
            <v>1</v>
          </cell>
          <cell r="N1407">
            <v>0</v>
          </cell>
          <cell r="P1407">
            <v>72.5</v>
          </cell>
        </row>
        <row r="1408">
          <cell r="C1408" t="str">
            <v>Treatment</v>
          </cell>
          <cell r="D1408" t="str">
            <v>South</v>
          </cell>
          <cell r="H1408">
            <v>1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P1408">
            <v>70.3</v>
          </cell>
        </row>
        <row r="1409">
          <cell r="C1409" t="str">
            <v>Control</v>
          </cell>
          <cell r="D1409" t="str">
            <v>North</v>
          </cell>
          <cell r="H1409">
            <v>1</v>
          </cell>
          <cell r="I1409">
            <v>1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P1409">
            <v>39.9</v>
          </cell>
        </row>
      </sheetData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6C6E3E-65E4-F94A-B3B4-27A1058E2D07}" name="Table1" displayName="Table1" ref="A1:E11" totalsRowShown="0" headerRowDxfId="12" dataDxfId="11">
  <autoFilter ref="A1:E11" xr:uid="{D66C6E3E-65E4-F94A-B3B4-27A1058E2D07}"/>
  <tableColumns count="5">
    <tableColumn id="1" xr3:uid="{59095153-1A2B-2149-AEF7-4A8684404A66}" name="Metric" dataDxfId="10"/>
    <tableColumn id="2" xr3:uid="{C9AE21E7-9056-AD43-9FCB-C5745DD82353}" name="Control" dataDxfId="9"/>
    <tableColumn id="3" xr3:uid="{E79298C2-2889-0943-A801-6D7CFBE1A437}" name="Treatment" dataDxfId="8"/>
    <tableColumn id="4" xr3:uid="{98B4CB30-5F97-7644-B1AE-E5FF28472CDB}" name="Difference" dataDxfId="7">
      <calculatedColumnFormula>C2-B2</calculatedColumnFormula>
    </tableColumn>
    <tableColumn id="5" xr3:uid="{18DF0CE5-9F1E-4541-81AA-4760AE809F48}" name="Lift %" dataDxfId="6">
      <calculatedColumnFormula>ROUND((C2-B2)/B2*100,2)&amp;"%"</calculatedColumnFormula>
    </tableColumn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08193B-AAAD-9A4B-9E3B-56A4D28BF56C}" name="Table2" displayName="Table2" ref="A13:D18" totalsRowShown="0" headerRowDxfId="5" dataDxfId="4">
  <autoFilter ref="A13:D18" xr:uid="{C408193B-AAAD-9A4B-9E3B-56A4D28BF56C}"/>
  <tableColumns count="4">
    <tableColumn id="1" xr3:uid="{4479461F-4C28-804C-9FF3-8BFDBD650F01}" name="Segment Analysis by Region - Paid Conversion Rate" dataDxfId="3"/>
    <tableColumn id="2" xr3:uid="{FCE92A1B-D52D-8D46-A1E1-C4D70240A086}" name="Column1" dataDxfId="2"/>
    <tableColumn id="3" xr3:uid="{43FEC99B-940A-9946-9A3C-3CDB2CEDBC6F}" name="Column2" dataDxfId="1"/>
    <tableColumn id="4" xr3:uid="{8DD0611C-B584-4B4F-8238-A540FC2D5767}" name="Column3" dataDxfId="0">
      <calculatedColumnFormula>C14-B14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C516-A484-8141-A65B-EAA3EB5423B4}">
  <dimension ref="A1:E18"/>
  <sheetViews>
    <sheetView tabSelected="1" zoomScale="150" zoomScaleNormal="150" workbookViewId="0">
      <selection activeCell="F19" sqref="F19"/>
    </sheetView>
  </sheetViews>
  <sheetFormatPr baseColWidth="10" defaultRowHeight="16" x14ac:dyDescent="0.2"/>
  <cols>
    <col min="1" max="1" width="48.5" customWidth="1"/>
    <col min="2" max="2" width="15.6640625" bestFit="1" customWidth="1"/>
    <col min="3" max="3" width="17.83203125" bestFit="1" customWidth="1"/>
    <col min="4" max="4" width="11.5" customWidth="1"/>
    <col min="5" max="5" width="23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>
        <f>COUNTIF([1]Raw_Data!C:C,"Control")</f>
        <v>693</v>
      </c>
      <c r="C2" s="1">
        <f>COUNTIF([1]Raw_Data!C:C,"Treatment")</f>
        <v>715</v>
      </c>
      <c r="D2" s="1">
        <f t="shared" ref="D2:D11" si="0">C2-B2</f>
        <v>22</v>
      </c>
      <c r="E2" s="1" t="str">
        <f t="shared" ref="E2:E7" si="1">ROUND((C2-B2)/B2*100,2)&amp;"%"</f>
        <v>3.17%</v>
      </c>
    </row>
    <row r="3" spans="1:5" x14ac:dyDescent="0.2">
      <c r="A3" s="1" t="s">
        <v>6</v>
      </c>
      <c r="B3" s="2">
        <f>COUNTIFS([1]Raw_Data!C:C,"Control",[1]Raw_Data!H:H,1)/B2</f>
        <v>0.63636363636363635</v>
      </c>
      <c r="C3" s="2">
        <f>COUNTIFS([1]Raw_Data!C:C,"Treatment",[1]Raw_Data!H:H,1)/C2</f>
        <v>0.72587412587412592</v>
      </c>
      <c r="D3" s="2">
        <f t="shared" si="0"/>
        <v>8.9510489510489566E-2</v>
      </c>
      <c r="E3" s="1" t="str">
        <f t="shared" si="1"/>
        <v>14.07%</v>
      </c>
    </row>
    <row r="4" spans="1:5" x14ac:dyDescent="0.2">
      <c r="A4" s="1" t="s">
        <v>7</v>
      </c>
      <c r="B4" s="2">
        <f>COUNTIFS([1]Raw_Data!C:C,"Control",[1]Raw_Data!I:I,1)/B2</f>
        <v>0.25108225108225107</v>
      </c>
      <c r="C4" s="2">
        <f>COUNTIFS([1]Raw_Data!C:C,"Treatment",[1]Raw_Data!I:I,1)/C2</f>
        <v>0.29090909090909089</v>
      </c>
      <c r="D4" s="2">
        <f t="shared" si="0"/>
        <v>3.9826839826839822E-2</v>
      </c>
      <c r="E4" s="1" t="str">
        <f t="shared" si="1"/>
        <v>15.86%</v>
      </c>
    </row>
    <row r="5" spans="1:5" x14ac:dyDescent="0.2">
      <c r="A5" s="1" t="s">
        <v>8</v>
      </c>
      <c r="B5" s="2">
        <f>COUNTIFS([1]Raw_Data!C:C,"Control",[1]Raw_Data!J:J,1)/B2</f>
        <v>0.15584415584415584</v>
      </c>
      <c r="C5" s="2">
        <f>COUNTIFS([1]Raw_Data!C:C,"Treatment",[1]Raw_Data!J:J,1)/C2</f>
        <v>0.21258741258741259</v>
      </c>
      <c r="D5" s="2">
        <f t="shared" si="0"/>
        <v>5.6743256743256754E-2</v>
      </c>
      <c r="E5" s="1" t="str">
        <f t="shared" si="1"/>
        <v>36.41%</v>
      </c>
    </row>
    <row r="6" spans="1:5" x14ac:dyDescent="0.2">
      <c r="A6" s="1" t="s">
        <v>9</v>
      </c>
      <c r="B6" s="2">
        <f>COUNTIFS([1]Raw_Data!C:C,"Control",[1]Raw_Data!K:K,1)/B2</f>
        <v>3.1746031746031744E-2</v>
      </c>
      <c r="C6" s="2">
        <f>COUNTIFS([1]Raw_Data!C:C,"Treatment",[1]Raw_Data!K:K,1)/C2</f>
        <v>6.9930069930069935E-2</v>
      </c>
      <c r="D6" s="2">
        <f t="shared" si="0"/>
        <v>3.8184038184038191E-2</v>
      </c>
      <c r="E6" s="1" t="str">
        <f t="shared" si="1"/>
        <v>120.28%</v>
      </c>
    </row>
    <row r="7" spans="1:5" x14ac:dyDescent="0.2">
      <c r="A7" s="1" t="s">
        <v>10</v>
      </c>
      <c r="B7" s="3">
        <f>AVERAGEIF([1]Raw_Data!C:C,"Control",[1]Raw_Data!L:L)</f>
        <v>51.74932178932179</v>
      </c>
      <c r="C7" s="3">
        <f>AVERAGEIF([1]Raw_Data!C:C,"Treatment",[1]Raw_Data!L:L)</f>
        <v>53.875118881118873</v>
      </c>
      <c r="D7" s="3">
        <f t="shared" si="0"/>
        <v>2.1257970917970823</v>
      </c>
      <c r="E7" s="1" t="str">
        <f t="shared" si="1"/>
        <v>4.11%</v>
      </c>
    </row>
    <row r="8" spans="1:5" x14ac:dyDescent="0.2">
      <c r="A8" s="1" t="s">
        <v>11</v>
      </c>
      <c r="B8" s="2">
        <f>COUNTIFS([1]Raw_Data!C:C,"Control",[1]Raw_Data!N:N,1)/B2</f>
        <v>0</v>
      </c>
      <c r="C8" s="2">
        <f>COUNTIFS([1]Raw_Data!C:C,"Treatment",[1]Raw_Data!N:N,1)/C2</f>
        <v>4.1958041958041958E-3</v>
      </c>
      <c r="D8" s="2">
        <f t="shared" si="0"/>
        <v>4.1958041958041958E-3</v>
      </c>
      <c r="E8" s="1" t="str">
        <f>IF(B8=0,"N/A - Control had 0 refunds",ROUND((C8-B8)/B8*100,2)&amp;"%")</f>
        <v>N/A - Control had 0 refunds</v>
      </c>
    </row>
    <row r="9" spans="1:5" x14ac:dyDescent="0.2">
      <c r="A9" s="1" t="s">
        <v>12</v>
      </c>
      <c r="B9" s="2">
        <f>AVERAGEIF([1]Raw_Data!C:C,"Control",[1]Raw_Data!M:M)</f>
        <v>0.21933621933621933</v>
      </c>
      <c r="C9" s="2">
        <f>AVERAGEIF([1]Raw_Data!C:C,"Treatment",[1]Raw_Data!M:M)</f>
        <v>0.37202797202797205</v>
      </c>
      <c r="D9" s="2">
        <f t="shared" si="0"/>
        <v>0.15269175269175272</v>
      </c>
      <c r="E9" s="1" t="str">
        <f>ROUND((C9-B9)/B9*100,2)&amp;"%"</f>
        <v>69.62%</v>
      </c>
    </row>
    <row r="10" spans="1:5" x14ac:dyDescent="0.2">
      <c r="A10" s="1" t="s">
        <v>13</v>
      </c>
      <c r="B10" s="2">
        <f>AVERAGEIF([1]Raw_Data!C:C,"Control",[1]Raw_Data!P:P)</f>
        <v>57.026200873362491</v>
      </c>
      <c r="C10" s="2">
        <f>AVERAGEIF([1]Raw_Data!C:C,"Treatment",[1]Raw_Data!P:P)</f>
        <v>62.931966053748233</v>
      </c>
      <c r="D10" s="2">
        <f t="shared" si="0"/>
        <v>5.9057651803857425</v>
      </c>
      <c r="E10" s="1" t="str">
        <f>ROUND((C10-B10)/B10*100,2)&amp;"%"</f>
        <v>10.36%</v>
      </c>
    </row>
    <row r="11" spans="1:5" x14ac:dyDescent="0.2">
      <c r="A11" s="1" t="s">
        <v>14</v>
      </c>
      <c r="B11" s="2">
        <f>AVERAGEIFS([1]Raw_Data!O:O,[1]Raw_Data!C:C,"Control",[1]Raw_Data!K:K,1)</f>
        <v>8.8636363636363633</v>
      </c>
      <c r="C11" s="2">
        <f>AVERAGEIFS([1]Raw_Data!O:O,[1]Raw_Data!C:C,"Treatment",[1]Raw_Data!K:K,1)</f>
        <v>6.4</v>
      </c>
      <c r="D11" s="2">
        <f t="shared" si="0"/>
        <v>-2.463636363636363</v>
      </c>
      <c r="E11" s="1" t="str">
        <f>ROUND((C11-B11)/B11*100,2)&amp;"%"</f>
        <v>-27.79%</v>
      </c>
    </row>
    <row r="13" spans="1:5" x14ac:dyDescent="0.2">
      <c r="A13" s="1" t="s">
        <v>15</v>
      </c>
      <c r="B13" s="1" t="s">
        <v>16</v>
      </c>
      <c r="C13" s="1" t="s">
        <v>17</v>
      </c>
      <c r="D13" s="1" t="s">
        <v>18</v>
      </c>
    </row>
    <row r="14" spans="1:5" x14ac:dyDescent="0.2">
      <c r="A14" s="1" t="s">
        <v>19</v>
      </c>
      <c r="B14" s="1" t="s">
        <v>20</v>
      </c>
      <c r="C14" s="1" t="s">
        <v>21</v>
      </c>
      <c r="D14" s="1" t="s">
        <v>3</v>
      </c>
    </row>
    <row r="15" spans="1:5" x14ac:dyDescent="0.2">
      <c r="A15" s="1" t="s">
        <v>22</v>
      </c>
      <c r="B15" s="2">
        <f>COUNTIFS([1]Raw_Data!C:C,"Control",[1]Raw_Data!D:D,"North",[1]Raw_Data!K:K,1)/COUNTIFS([1]Raw_Data!C:C,"Control",[1]Raw_Data!D:D,"North")</f>
        <v>3.4482758620689655E-2</v>
      </c>
      <c r="C15" s="2">
        <f>COUNTIFS([1]Raw_Data!C:C,"Treatment",[1]Raw_Data!D:D,"North",[1]Raw_Data!K:K,1)/COUNTIFS([1]Raw_Data!C:C,"Treatment",[1]Raw_Data!D:D,"North")</f>
        <v>8.8888888888888892E-2</v>
      </c>
      <c r="D15" s="2">
        <f>C15-B15</f>
        <v>5.4406130268199238E-2</v>
      </c>
    </row>
    <row r="16" spans="1:5" x14ac:dyDescent="0.2">
      <c r="A16" s="1" t="s">
        <v>23</v>
      </c>
      <c r="B16" s="2">
        <f>COUNTIFS([1]Raw_Data!C:C,"Control",[1]Raw_Data!D:D,"South",[1]Raw_Data!K:K,1)/COUNTIFS([1]Raw_Data!C:C,"Control",[1]Raw_Data!D:D,"South")</f>
        <v>3.2608695652173912E-2</v>
      </c>
      <c r="C16" s="2">
        <f>COUNTIFS([1]Raw_Data!C:C,"Treatment",[1]Raw_Data!D:D,"South",[1]Raw_Data!K:K,1)/COUNTIFS([1]Raw_Data!C:C,"Treatment",[1]Raw_Data!D:D,"South")</f>
        <v>7.6086956521739135E-2</v>
      </c>
      <c r="D16" s="2">
        <f>C16-B16</f>
        <v>4.3478260869565223E-2</v>
      </c>
    </row>
    <row r="17" spans="1:4" x14ac:dyDescent="0.2">
      <c r="A17" s="1" t="s">
        <v>24</v>
      </c>
      <c r="B17" s="2">
        <f>COUNTIFS([1]Raw_Data!C:C,"Control",[1]Raw_Data!D:D,"East",[1]Raw_Data!K:K,1)/COUNTIFS([1]Raw_Data!C:C,"Control",[1]Raw_Data!D:D,"East")</f>
        <v>2.5316455696202531E-2</v>
      </c>
      <c r="C17" s="2">
        <f>COUNTIFS([1]Raw_Data!C:C,"Treatment",[1]Raw_Data!D:D,"East",[1]Raw_Data!K:K,1)/COUNTIFS([1]Raw_Data!C:C,"Treatment",[1]Raw_Data!D:D,"East")</f>
        <v>6.3953488372093026E-2</v>
      </c>
      <c r="D17" s="2">
        <f>C17-B17</f>
        <v>3.8637032675890498E-2</v>
      </c>
    </row>
    <row r="18" spans="1:4" x14ac:dyDescent="0.2">
      <c r="A18" s="1" t="s">
        <v>25</v>
      </c>
      <c r="B18" s="2">
        <f>COUNTIFS([1]Raw_Data!C:C,"Control",[1]Raw_Data!D:D,"West",[1]Raw_Data!K:K,1)/COUNTIFS([1]Raw_Data!C:C,"Control",[1]Raw_Data!D:D,"West")</f>
        <v>3.3783783783783786E-2</v>
      </c>
      <c r="C18" s="2">
        <f>COUNTIFS([1]Raw_Data!C:C,"Treatment",[1]Raw_Data!D:D,"West",[1]Raw_Data!K:K,1)/COUNTIFS([1]Raw_Data!C:C,"Treatment",[1]Raw_Data!D:D,"West")</f>
        <v>5.027932960893855E-2</v>
      </c>
      <c r="D18" s="2">
        <f>C18-B18</f>
        <v>1.6495545825154764E-2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Shlok Khandelwal</dc:creator>
  <cp:lastModifiedBy>Shlok Khandelwal</cp:lastModifiedBy>
  <dcterms:created xsi:type="dcterms:W3CDTF">2026-06-27T20:12:43Z</dcterms:created>
  <dcterms:modified xsi:type="dcterms:W3CDTF">2026-06-27T20:27:00Z</dcterms:modified>
</cp:coreProperties>
</file>